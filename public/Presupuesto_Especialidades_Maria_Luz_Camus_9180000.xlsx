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ro-Tareas y Especialidades" state="visible" r:id="rId4"/>
    <sheet sheetId="2" name="Detalle de Partidas" state="visible" r:id="rId5"/>
  </sheets>
  <calcPr calcId="171027"/>
</workbook>
</file>

<file path=xl/sharedStrings.xml><?xml version="1.0" encoding="utf-8"?>
<sst xmlns="http://schemas.openxmlformats.org/spreadsheetml/2006/main" count="303" uniqueCount="141">
  <si>
    <t>PRESUPUESTO POR ESPECIALIDADES / TAREAS COMPLETAS - CONTROL MAESTRO</t>
  </si>
  <si>
    <t>Cliente: María Luz Camus Romo</t>
  </si>
  <si>
    <t>Meta Presupuesto:</t>
  </si>
  <si>
    <t>Dirección: Miguel Claro 1691 D - Providencia</t>
  </si>
  <si>
    <t>Total Actual:</t>
  </si>
  <si>
    <t>Cotización: PTO-2026-078  |  Modalidad: Todo Incluido (M.O. + Materiales)</t>
  </si>
  <si>
    <t>Diferencia p/ Meta:</t>
  </si>
  <si>
    <t>💡 INSTRUCCIÓN PARA EL MAESTRO: Puedes editar los valores de cada especialidad en las celdas amarillas (Columna F). El panel superior te avisará de inmediato si estás cuadrado en los $9.180.000.</t>
  </si>
  <si>
    <t>#</t>
  </si>
  <si>
    <t>Especialidad / Tarea Completa</t>
  </si>
  <si>
    <t>Detalle de Cobertura y Alcance Integral</t>
  </si>
  <si>
    <t>Unidad</t>
  </si>
  <si>
    <t>Cantidad</t>
  </si>
  <si>
    <t>Valor Especialidad ($)</t>
  </si>
  <si>
    <t>Subtotal ($)</t>
  </si>
  <si>
    <t>% Incidencia</t>
  </si>
  <si>
    <t>Pintura y Empastado Interior Integral (Toda la Casa)</t>
  </si>
  <si>
    <t>Preparación de superficies, reparación de fisuras, empaste y aplicación de 2 manos de pintura esmalte al agua en Living, Comedor, Pasillo, Cocina, Baño y los 4 Dormitorios.</t>
  </si>
  <si>
    <t>gl</t>
  </si>
  <si>
    <t>Tratamiento y Pintura Exterior de Fachada</t>
  </si>
  <si>
    <t>Limpieza, preparación y pintura exterior de fachada (2 pisos), reparación estructural y sellado de alero exterior, y tratamiento antihumedad en muros bajos.</t>
  </si>
  <si>
    <t>Instalación Eléctrica Integral, Canalizaciones y Puntos de Conexión</t>
  </si>
  <si>
    <t>Renovación y trazado de canalizaciones eléctricas, picado de piso, cableado normalizado SEC, cajas de derivación y montaje de módulos (enchufes, interruptores y centros de luz) en ambos pisos y logia.</t>
  </si>
  <si>
    <t>Renovación de Pisos, Cerámicas y Vitrificado de Parquet</t>
  </si>
  <si>
    <t>Retiro de parquet existente en 1er piso, instalación de cerámica en living/comedor (21 m²), pasillo y logia; cerámicas de muro en cocina y baño; piso vinílico; y pulido a máquina con vitrificado de alto tráfico en parquet de 3 dormitorios de 2do piso.</t>
  </si>
  <si>
    <t>Gasfitería Integral, Redes de Agua y Zonas Húmedas de Baños</t>
  </si>
  <si>
    <t>Red completa de agua fría y caliente en tuberías PPR termofusión, retiro de tina existente, construcción e impermeabilización de 2 receptáculos de ducha con cerámica, instalación de WC con fittings y conexiones en logia.</t>
  </si>
  <si>
    <t>Carpintería, Ventanal y Obras Civiles Complementarias</t>
  </si>
  <si>
    <t>Reparación de ventanal (vidrios 20x30 y sellado), ajuste y cuadratura de 6 puertas interiores, suministro e instalación de puerta nueva, cambio de cielo en baño, radier de hormigón en logia y retiro de escombros con aseo.</t>
  </si>
  <si>
    <t>TOTAL GENERAL PRESUPUESTO OBRAS (TODO INCLUIDO):</t>
  </si>
  <si>
    <t>DETALLE COMPLETO DE PARTIDAS AGRUPADAS POR ESPECIALIDAD</t>
  </si>
  <si>
    <t>1. ESPECIALIDAD: PINTURA Y EMPASTADO INTERIOR INTEGRAL (TODA LA CASA) (Subtotal: $2.148.800)</t>
  </si>
  <si>
    <t>Recinto</t>
  </si>
  <si>
    <t>Categoría</t>
  </si>
  <si>
    <t>Nombre de Partida</t>
  </si>
  <si>
    <t>Valor Parcial ($)</t>
  </si>
  <si>
    <t>1.1</t>
  </si>
  <si>
    <t>GENERAL</t>
  </si>
  <si>
    <t>Pintura y Terminaciones</t>
  </si>
  <si>
    <t>Empastado y Reparación base de muros y fisuras de la casa</t>
  </si>
  <si>
    <t>1.2</t>
  </si>
  <si>
    <t>Reparaciones, Mantenciones y Gasfitería</t>
  </si>
  <si>
    <t>Reparación de filtración en escala y pintura</t>
  </si>
  <si>
    <t>1.3</t>
  </si>
  <si>
    <t>Living / Comedor</t>
  </si>
  <si>
    <t>Pintura y empastado completo de muros (Pintura incluida)</t>
  </si>
  <si>
    <t>1.4</t>
  </si>
  <si>
    <t>Pasillo</t>
  </si>
  <si>
    <t>Pintura y empastado de muros y cielos (Pintura incluida)</t>
  </si>
  <si>
    <t>1.5</t>
  </si>
  <si>
    <t>Cocina</t>
  </si>
  <si>
    <t>Pintura esmalte al agua en cielos y muros (Pintura incluida)</t>
  </si>
  <si>
    <t>1.6</t>
  </si>
  <si>
    <t>Baño Primer Piso</t>
  </si>
  <si>
    <t>Pintura Esmalte al Agua en Muros (2 Manos antihumedad)</t>
  </si>
  <si>
    <t>1.7</t>
  </si>
  <si>
    <t>Dormitorio Primer Piso</t>
  </si>
  <si>
    <t>1.8</t>
  </si>
  <si>
    <t>Segundo piso Dormitorio 1</t>
  </si>
  <si>
    <t>1.9</t>
  </si>
  <si>
    <t>Segundo piso Dormitorio 2</t>
  </si>
  <si>
    <t>1.10</t>
  </si>
  <si>
    <t>Segundo piso Dormitorio 3</t>
  </si>
  <si>
    <t>2. ESPECIALIDAD: TRATAMIENTO Y PINTURA EXTERIOR DE FACHADA (Subtotal: $544.000)</t>
  </si>
  <si>
    <t>2.1</t>
  </si>
  <si>
    <t>Pintura exterior (2 pisos), reparación de alero exterior y tratamiento de humedad en muros bajos</t>
  </si>
  <si>
    <t>3. ESPECIALIDAD: INSTALACIÓN ELÉCTRICA INTEGRAL, CANALIZACIONES Y PUNTOS DE CONEXIÓN (Subtotal: $1.985.600)</t>
  </si>
  <si>
    <t>3.1</t>
  </si>
  <si>
    <t>Instalaciones Eléctricas</t>
  </si>
  <si>
    <t>Picado de piso para tuberías y canalización eléctrica</t>
  </si>
  <si>
    <t>3.2</t>
  </si>
  <si>
    <t>Puntos eléctricos (6 enchufes + 4 centros de luz), canalización y cableado de materiales</t>
  </si>
  <si>
    <t>3.3</t>
  </si>
  <si>
    <t>Puntos eléctricos (2 enchufes + 2 centros de luz + 1 interruptor), canalización y cableado de materiales</t>
  </si>
  <si>
    <t>3.4</t>
  </si>
  <si>
    <t>Puntos eléctricos (2 enchufes + módulo encendido + 1 centro luz), canalización y cableado de materiales</t>
  </si>
  <si>
    <t>3.5</t>
  </si>
  <si>
    <t>Electricidad de baño (1 enchufe + 1 interruptor + canalizado)</t>
  </si>
  <si>
    <t>3.6</t>
  </si>
  <si>
    <t>Electricidad (2 enchufes + 1 interruptor + 1 centro luz)</t>
  </si>
  <si>
    <t>3.7</t>
  </si>
  <si>
    <t>Electricidad picada nueva: Puntos eléctricos (2 enchufes + 1 interruptor), canalización y cableado de materiales</t>
  </si>
  <si>
    <t>3.8</t>
  </si>
  <si>
    <t>3.9</t>
  </si>
  <si>
    <t>3.10</t>
  </si>
  <si>
    <t>Logia</t>
  </si>
  <si>
    <t>Instalación Eléctrica (centro de luz + enchufe exterior protegido)</t>
  </si>
  <si>
    <t>4. ESPECIALIDAD: RENOVACIÓN DE PISOS, CERÁMICAS Y VITRIFICADO DE PARQUET (Subtotal: $2.529.600)</t>
  </si>
  <si>
    <t>4.1</t>
  </si>
  <si>
    <t>Pisos y Revestimientos</t>
  </si>
  <si>
    <t>Retiro de Parquet existente (21 m²)</t>
  </si>
  <si>
    <t>4.2</t>
  </si>
  <si>
    <t>Instalación de Cerámica de Piso (21 m²)</t>
  </si>
  <si>
    <t>4.3</t>
  </si>
  <si>
    <t>Retiro de Parquet existente</t>
  </si>
  <si>
    <t>4.4</t>
  </si>
  <si>
    <t>Instalación de Cerámica con materiales incluidos</t>
  </si>
  <si>
    <t>4.5</t>
  </si>
  <si>
    <t>Instalación de Cerámica en Muros de Cocina</t>
  </si>
  <si>
    <t>4.6</t>
  </si>
  <si>
    <t>Instalación de Piso Vinílico</t>
  </si>
  <si>
    <t>4.7</t>
  </si>
  <si>
    <t>Instalación de Piso Vinílico en pieza</t>
  </si>
  <si>
    <t>4.8</t>
  </si>
  <si>
    <t>Pulido y Vitrificado de Parquet (con vitrificante incluido)</t>
  </si>
  <si>
    <t>4.9</t>
  </si>
  <si>
    <t>4.10</t>
  </si>
  <si>
    <t>4.11</t>
  </si>
  <si>
    <t>Baño Segundo piso</t>
  </si>
  <si>
    <t>Reparación y Revestimiento de Cerámica en Muros</t>
  </si>
  <si>
    <t>4.12</t>
  </si>
  <si>
    <t>Instalación de Cerámica de piso</t>
  </si>
  <si>
    <t>5. ESPECIALIDAD: GASFITERÍA INTEGRAL, REDES DE AGUA Y ZONAS HÚMEDAS DE BAÑOS (Subtotal: $952.000)</t>
  </si>
  <si>
    <t>5.1</t>
  </si>
  <si>
    <t>Albañilería y Obras Civiles</t>
  </si>
  <si>
    <t>Construcción e Instalación de Cerámica en Receptáculo de ducha</t>
  </si>
  <si>
    <t>5.2</t>
  </si>
  <si>
    <t>Cambio y Montaje de WC con fittings</t>
  </si>
  <si>
    <t>un</t>
  </si>
  <si>
    <t>5.3</t>
  </si>
  <si>
    <t>Calefont, Gas y Gasfitería</t>
  </si>
  <si>
    <t>Gasfitería 2do Piso: Red de agua fría y caliente en tuberías PPR</t>
  </si>
  <si>
    <t>5.4</t>
  </si>
  <si>
    <t>Retiro de Tina existente y despeje de zona húmeda</t>
  </si>
  <si>
    <t>5.5</t>
  </si>
  <si>
    <t>5.6</t>
  </si>
  <si>
    <t>Instalación de Gasfitería (llave, desagüe y red de agua fría/caliente)</t>
  </si>
  <si>
    <t>6. ESPECIALIDAD: CARPINTERÍA, VENTANAL Y OBRAS CIVILES COMPLEMENTARIAS (Subtotal: $1.020.000)</t>
  </si>
  <si>
    <t>6.1</t>
  </si>
  <si>
    <t>Mobiliario, Closets y Carpintería</t>
  </si>
  <si>
    <t>Reparación de 6 puertas interiores</t>
  </si>
  <si>
    <t>6.2</t>
  </si>
  <si>
    <t>Reparación de patio, retiro de escombros y aseo general</t>
  </si>
  <si>
    <t>6.3</t>
  </si>
  <si>
    <t>Reparación de Ventanal (vidrios 20x30 cm)</t>
  </si>
  <si>
    <t>6.4</t>
  </si>
  <si>
    <t>Suministro e Instalación de Puerta Nueva</t>
  </si>
  <si>
    <t>6.5</t>
  </si>
  <si>
    <t>Cambio y Reparación de Cielo en Baño</t>
  </si>
  <si>
    <t>6.6</t>
  </si>
  <si>
    <t>Confección de Radier de Hormigón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</si>
</sst>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"/>
    <numFmt numFmtId="165" formatCode="$#,##0;($#,##0);&quot;-&quot;"/>
    <numFmt numFmtId="166" formatCode="0.0%"/>
  </numFmts>
  <fonts count="20" x14ac:knownFonts="1">
    <font>
      <color theme="1"/>
      <family val="2"/>
      <scheme val="minor"/>
      <sz val="11"/>
      <name val="Calibri"/>
    </font>
    <font>
      <b/>
      <color rgb="FFFFFF"/>
      <sz val="13"/>
      <name val="Calibri"/>
    </font>
    <font>
      <b/>
      <sz val="10"/>
    </font>
    <font>
      <b/>
      <sz val="9"/>
    </font>
    <font>
      <b/>
      <color rgb="1E3A8A"/>
      <sz val="11"/>
    </font>
    <font>
      <color rgb="475569"/>
      <sz val="9"/>
    </font>
    <font>
      <b/>
      <sz val="11"/>
    </font>
    <font>
      <b/>
      <sz val="9.5"/>
    </font>
    <font>
      <i/>
      <color rgb="1E293B"/>
      <sz val="8.5"/>
    </font>
    <font>
      <b/>
      <color rgb="FFFFFF"/>
      <sz val="9.5"/>
      <name val="Calibri"/>
    </font>
    <font>
      <b/>
    </font>
    <font>
      <b/>
      <color rgb="0F172A"/>
      <sz val="10"/>
    </font>
    <font>
      <color rgb="475569"/>
      <sz val="8.5"/>
    </font>
    <font>
      <b/>
      <color rgb="1E3A8A"/>
      <sz val="10"/>
    </font>
    <font>
      <b/>
      <color rgb="FFFFFF"/>
      <sz val="11"/>
    </font>
    <font>
      <b/>
      <color rgb="FFFFFF"/>
      <sz val="12"/>
    </font>
    <font>
      <b/>
      <color rgb="FFFFFF"/>
      <sz val="10"/>
    </font>
    <font>
      <b/>
      <color rgb="FFFFFF"/>
      <sz val="12"/>
      <name val="Calibri"/>
    </font>
    <font>
      <b/>
      <color rgb="FFFFFF"/>
      <sz val="9.5"/>
    </font>
    <font>
      <b/>
      <sz val="8.5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EF08A"/>
      </patternFill>
    </fill>
    <fill>
      <patternFill patternType="solid">
        <fgColor rgb="2563EB"/>
      </patternFill>
    </fill>
    <fill>
      <patternFill patternType="solid">
        <fgColor rgb="FEF9C3"/>
      </patternFill>
    </fill>
    <fill>
      <patternFill patternType="solid">
        <fgColor rgb="F1F5F9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/>
    </xf>
    <xf numFmtId="166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18" fillId="4" borderId="0" xfId="0" applyFont="1" applyFill="1"/>
    <xf numFmtId="0" fontId="19" fillId="6" borderId="0" xfId="0" applyFont="1" applyFill="1" applyAlignment="1">
      <alignment horizontal="center"/>
    </xf>
    <xf numFmtId="0" fontId="19" fillId="6" borderId="0" xfId="0" applyFont="1" applyFill="1" applyAlignment="1">
      <alignment horizontal="left"/>
    </xf>
    <xf numFmtId="0" fontId="19" fillId="6" borderId="0" xfId="0" applyFont="1" applyFill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outlineLevelRow="0" outlineLevelCol="0" x14ac:dyDescent="55"/>
  <cols>
    <col min="1" max="1" width="6" customWidth="1"/>
    <col min="2" max="2" width="38" customWidth="1"/>
    <col min="3" max="3" width="50" customWidth="1"/>
    <col min="4" max="4" width="10" customWidth="1"/>
    <col min="5" max="5" width="12" customWidth="1"/>
    <col min="6" max="7" width="22" customWidth="1"/>
    <col min="8" max="8" width="14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3" t="s">
        <v>2</v>
      </c>
      <c r="F2" s="4">
        <v>9180000</v>
      </c>
      <c r="G2" s="4"/>
      <c r="H2" s="4"/>
    </row>
    <row r="3" spans="1:8" x14ac:dyDescent="0.25">
      <c r="A3" s="5" t="s">
        <v>3</v>
      </c>
      <c r="B3" s="5"/>
      <c r="C3" s="5"/>
      <c r="D3" s="5"/>
      <c r="E3" s="3" t="s">
        <v>4</v>
      </c>
      <c r="F3" s="6">
        <f>G15</f>
        <v>9180000</v>
      </c>
      <c r="G3" s="6"/>
      <c r="H3" s="6"/>
    </row>
    <row r="4" spans="1:8" x14ac:dyDescent="0.25">
      <c r="A4" s="5" t="s">
        <v>5</v>
      </c>
      <c r="B4" s="5"/>
      <c r="C4" s="5"/>
      <c r="D4" s="5"/>
      <c r="E4" s="3" t="s">
        <v>6</v>
      </c>
      <c r="F4" s="7">
        <f>F3-F2</f>
        <v>0</v>
      </c>
      <c r="G4" s="7"/>
      <c r="H4" s="7"/>
    </row>
    <row r="5" ht="20" customHeight="1" spans="5:8" x14ac:dyDescent="0.25">
      <c r="E5" s="8" t="str">
        <f>IF(F4=0,"✅ ¡PRESUPUESTO CUADRADO EXACTO EN $9.180.000!",IF(F4&gt;0,"⚠️ SOBRAN " &amp; TEXT(F4,"$#,##0") &amp; " (DEBES BAJAR VALORES)","⚠️ FALTAN " &amp; TEXT(-F4,"$#,##0") &amp; " (DEBES SUBIR VALORES)"))</f>
        <v>✅ ¡PRESUPUESTO CUADRADO EXACTO EN $9.180.000!</v>
      </c>
      <c r="F5" s="8"/>
      <c r="G5" s="8"/>
      <c r="H5" s="8"/>
    </row>
    <row r="6" ht="22" customHeight="1" spans="1:8" x14ac:dyDescent="0.25">
      <c r="A6" s="9" t="s">
        <v>7</v>
      </c>
      <c r="B6" s="9"/>
      <c r="C6" s="9"/>
      <c r="D6" s="9"/>
      <c r="E6" s="9"/>
      <c r="F6" s="9"/>
      <c r="G6" s="9"/>
      <c r="H6" s="9"/>
    </row>
    <row r="8" ht="24" customHeight="1" spans="1:8" x14ac:dyDescent="0.25">
      <c r="A8" s="10" t="s">
        <v>8</v>
      </c>
      <c r="B8" s="11" t="s">
        <v>9</v>
      </c>
      <c r="C8" s="11" t="s">
        <v>10</v>
      </c>
      <c r="D8" s="10" t="s">
        <v>11</v>
      </c>
      <c r="E8" s="12" t="s">
        <v>12</v>
      </c>
      <c r="F8" s="12" t="s">
        <v>13</v>
      </c>
      <c r="G8" s="12" t="s">
        <v>14</v>
      </c>
      <c r="H8" s="12" t="s">
        <v>15</v>
      </c>
    </row>
    <row r="9" ht="24" customHeight="1" spans="1:8" x14ac:dyDescent="0.25">
      <c r="A9" s="13">
        <v>1</v>
      </c>
      <c r="B9" s="14" t="s">
        <v>16</v>
      </c>
      <c r="C9" s="15" t="s">
        <v>17</v>
      </c>
      <c r="D9" s="16" t="s">
        <v>18</v>
      </c>
      <c r="E9" s="17">
        <v>1</v>
      </c>
      <c r="F9" s="18">
        <v>2148800</v>
      </c>
      <c r="G9" s="19">
        <f>E9*F9</f>
        <v>2148800</v>
      </c>
      <c r="H9" s="20">
        <f>G9/G15</f>
      </c>
    </row>
    <row r="10" ht="24" customHeight="1" spans="1:8" x14ac:dyDescent="0.25">
      <c r="A10" s="13">
        <v>2</v>
      </c>
      <c r="B10" s="14" t="s">
        <v>19</v>
      </c>
      <c r="C10" s="15" t="s">
        <v>20</v>
      </c>
      <c r="D10" s="16" t="s">
        <v>18</v>
      </c>
      <c r="E10" s="17">
        <v>1</v>
      </c>
      <c r="F10" s="18">
        <v>544000</v>
      </c>
      <c r="G10" s="19">
        <f>E10*F10</f>
        <v>544000</v>
      </c>
      <c r="H10" s="20">
        <f>G10/G15</f>
      </c>
    </row>
    <row r="11" ht="24" customHeight="1" spans="1:8" x14ac:dyDescent="0.25">
      <c r="A11" s="13">
        <v>3</v>
      </c>
      <c r="B11" s="14" t="s">
        <v>21</v>
      </c>
      <c r="C11" s="15" t="s">
        <v>22</v>
      </c>
      <c r="D11" s="16" t="s">
        <v>18</v>
      </c>
      <c r="E11" s="17">
        <v>1</v>
      </c>
      <c r="F11" s="18">
        <v>1985600</v>
      </c>
      <c r="G11" s="19">
        <f>E11*F11</f>
        <v>1985600</v>
      </c>
      <c r="H11" s="20">
        <f>G11/G15</f>
      </c>
    </row>
    <row r="12" ht="24" customHeight="1" spans="1:8" x14ac:dyDescent="0.25">
      <c r="A12" s="13">
        <v>4</v>
      </c>
      <c r="B12" s="14" t="s">
        <v>23</v>
      </c>
      <c r="C12" s="15" t="s">
        <v>24</v>
      </c>
      <c r="D12" s="16" t="s">
        <v>18</v>
      </c>
      <c r="E12" s="17">
        <v>1</v>
      </c>
      <c r="F12" s="18">
        <v>2529600</v>
      </c>
      <c r="G12" s="19">
        <f>E12*F12</f>
        <v>2529600</v>
      </c>
      <c r="H12" s="20">
        <f>G12/G15</f>
      </c>
    </row>
    <row r="13" ht="24" customHeight="1" spans="1:8" x14ac:dyDescent="0.25">
      <c r="A13" s="13">
        <v>5</v>
      </c>
      <c r="B13" s="14" t="s">
        <v>25</v>
      </c>
      <c r="C13" s="15" t="s">
        <v>26</v>
      </c>
      <c r="D13" s="16" t="s">
        <v>18</v>
      </c>
      <c r="E13" s="17">
        <v>1</v>
      </c>
      <c r="F13" s="18">
        <v>952000</v>
      </c>
      <c r="G13" s="19">
        <f>E13*F13</f>
        <v>952000</v>
      </c>
      <c r="H13" s="20">
        <f>G13/G15</f>
      </c>
    </row>
    <row r="14" ht="24" customHeight="1" spans="1:8" x14ac:dyDescent="0.25">
      <c r="A14" s="13">
        <v>6</v>
      </c>
      <c r="B14" s="14" t="s">
        <v>27</v>
      </c>
      <c r="C14" s="15" t="s">
        <v>28</v>
      </c>
      <c r="D14" s="16" t="s">
        <v>18</v>
      </c>
      <c r="E14" s="17">
        <v>1</v>
      </c>
      <c r="F14" s="18">
        <v>1020000</v>
      </c>
      <c r="G14" s="19">
        <f>E14*F14</f>
        <v>1020000</v>
      </c>
      <c r="H14" s="20">
        <f>G14/G15</f>
      </c>
    </row>
    <row r="15" ht="26" customHeight="1" spans="1:8" x14ac:dyDescent="0.25">
      <c r="A15" s="21" t="s">
        <v>29</v>
      </c>
      <c r="B15" s="21"/>
      <c r="C15" s="21"/>
      <c r="D15" s="21"/>
      <c r="E15" s="21"/>
      <c r="F15" s="21"/>
      <c r="G15" s="22">
        <f>SUM(G9:G14)</f>
        <v>9180000</v>
      </c>
      <c r="H15" s="23">
        <f>SUM(H9:H14)</f>
        <v>1</v>
      </c>
    </row>
  </sheetData>
  <mergeCells count="10">
    <mergeCell ref="A1:H1"/>
    <mergeCell ref="A2:D2"/>
    <mergeCell ref="F2:H2"/>
    <mergeCell ref="A3:D3"/>
    <mergeCell ref="F3:H3"/>
    <mergeCell ref="A4:D4"/>
    <mergeCell ref="F4:H4"/>
    <mergeCell ref="E5:H5"/>
    <mergeCell ref="A6:H6"/>
    <mergeCell ref="A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/>
  </sheetViews>
  <sheetFormatPr defaultRowHeight="15" outlineLevelRow="0" outlineLevelCol="0" x14ac:dyDescent="55"/>
  <cols>
    <col min="1" max="1" width="8" customWidth="1"/>
    <col min="2" max="2" width="30" customWidth="1"/>
    <col min="3" max="3" width="22" customWidth="1"/>
    <col min="4" max="4" width="44" customWidth="1"/>
    <col min="5" max="5" width="10" customWidth="1"/>
    <col min="6" max="6" width="18" customWidth="1"/>
  </cols>
  <sheetData>
    <row r="1" ht="25" customHeight="1" spans="1:6" x14ac:dyDescent="0.25">
      <c r="A1" s="24" t="s">
        <v>30</v>
      </c>
      <c r="B1" s="24"/>
      <c r="C1" s="24"/>
      <c r="D1" s="24"/>
      <c r="E1" s="24"/>
      <c r="F1" s="24"/>
    </row>
    <row r="3" ht="22" customHeight="1" spans="1:6" x14ac:dyDescent="0.25">
      <c r="A3" s="25" t="s">
        <v>31</v>
      </c>
      <c r="B3" s="25"/>
      <c r="C3" s="25"/>
      <c r="D3" s="25"/>
      <c r="E3" s="25"/>
      <c r="F3" s="25"/>
    </row>
    <row r="4" spans="1:6" x14ac:dyDescent="0.25">
      <c r="A4" s="26" t="s">
        <v>8</v>
      </c>
      <c r="B4" s="27" t="s">
        <v>32</v>
      </c>
      <c r="C4" s="27" t="s">
        <v>33</v>
      </c>
      <c r="D4" s="27" t="s">
        <v>34</v>
      </c>
      <c r="E4" s="26" t="s">
        <v>11</v>
      </c>
      <c r="F4" s="28" t="s">
        <v>35</v>
      </c>
    </row>
    <row r="5" spans="1:6" x14ac:dyDescent="0.25">
      <c r="A5" s="29" t="s">
        <v>36</v>
      </c>
      <c r="B5" t="s">
        <v>37</v>
      </c>
      <c r="C5" t="s">
        <v>38</v>
      </c>
      <c r="D5" t="s">
        <v>39</v>
      </c>
      <c r="E5" s="29" t="s">
        <v>18</v>
      </c>
      <c r="F5" s="30">
        <v>340000</v>
      </c>
    </row>
    <row r="6" spans="1:6" x14ac:dyDescent="0.25">
      <c r="A6" s="29" t="s">
        <v>40</v>
      </c>
      <c r="B6" t="s">
        <v>37</v>
      </c>
      <c r="C6" t="s">
        <v>41</v>
      </c>
      <c r="D6" t="s">
        <v>42</v>
      </c>
      <c r="E6" s="29" t="s">
        <v>18</v>
      </c>
      <c r="F6" s="30">
        <v>272000</v>
      </c>
    </row>
    <row r="7" spans="1:6" x14ac:dyDescent="0.25">
      <c r="A7" s="29" t="s">
        <v>43</v>
      </c>
      <c r="B7" t="s">
        <v>44</v>
      </c>
      <c r="C7" t="s">
        <v>38</v>
      </c>
      <c r="D7" t="s">
        <v>45</v>
      </c>
      <c r="E7" s="29" t="s">
        <v>18</v>
      </c>
      <c r="F7" s="30">
        <v>380800</v>
      </c>
    </row>
    <row r="8" spans="1:6" x14ac:dyDescent="0.25">
      <c r="A8" s="29" t="s">
        <v>46</v>
      </c>
      <c r="B8" t="s">
        <v>47</v>
      </c>
      <c r="C8" t="s">
        <v>38</v>
      </c>
      <c r="D8" t="s">
        <v>48</v>
      </c>
      <c r="E8" s="29" t="s">
        <v>18</v>
      </c>
      <c r="F8" s="30">
        <v>108800</v>
      </c>
    </row>
    <row r="9" spans="1:6" x14ac:dyDescent="0.25">
      <c r="A9" s="29" t="s">
        <v>49</v>
      </c>
      <c r="B9" t="s">
        <v>50</v>
      </c>
      <c r="C9" t="s">
        <v>38</v>
      </c>
      <c r="D9" t="s">
        <v>51</v>
      </c>
      <c r="E9" s="29" t="s">
        <v>18</v>
      </c>
      <c r="F9" s="30">
        <v>95200</v>
      </c>
    </row>
    <row r="10" spans="1:6" x14ac:dyDescent="0.25">
      <c r="A10" s="29" t="s">
        <v>52</v>
      </c>
      <c r="B10" t="s">
        <v>53</v>
      </c>
      <c r="C10" t="s">
        <v>38</v>
      </c>
      <c r="D10" t="s">
        <v>54</v>
      </c>
      <c r="E10" s="29" t="s">
        <v>18</v>
      </c>
      <c r="F10" s="30">
        <v>122400</v>
      </c>
    </row>
    <row r="11" spans="1:6" x14ac:dyDescent="0.25">
      <c r="A11" s="29" t="s">
        <v>55</v>
      </c>
      <c r="B11" t="s">
        <v>56</v>
      </c>
      <c r="C11" t="s">
        <v>38</v>
      </c>
      <c r="D11" t="s">
        <v>45</v>
      </c>
      <c r="E11" s="29" t="s">
        <v>18</v>
      </c>
      <c r="F11" s="30">
        <v>149600</v>
      </c>
    </row>
    <row r="12" spans="1:6" x14ac:dyDescent="0.25">
      <c r="A12" s="29" t="s">
        <v>57</v>
      </c>
      <c r="B12" t="s">
        <v>58</v>
      </c>
      <c r="C12" t="s">
        <v>38</v>
      </c>
      <c r="D12" t="s">
        <v>45</v>
      </c>
      <c r="E12" s="29" t="s">
        <v>18</v>
      </c>
      <c r="F12" s="30">
        <v>227120</v>
      </c>
    </row>
    <row r="13" spans="1:6" x14ac:dyDescent="0.25">
      <c r="A13" s="29" t="s">
        <v>59</v>
      </c>
      <c r="B13" t="s">
        <v>60</v>
      </c>
      <c r="C13" t="s">
        <v>38</v>
      </c>
      <c r="D13" t="s">
        <v>45</v>
      </c>
      <c r="E13" s="29" t="s">
        <v>18</v>
      </c>
      <c r="F13" s="30">
        <v>227120</v>
      </c>
    </row>
    <row r="14" spans="1:6" x14ac:dyDescent="0.25">
      <c r="A14" s="29" t="s">
        <v>61</v>
      </c>
      <c r="B14" t="s">
        <v>62</v>
      </c>
      <c r="C14" t="s">
        <v>38</v>
      </c>
      <c r="D14" t="s">
        <v>45</v>
      </c>
      <c r="E14" s="29" t="s">
        <v>18</v>
      </c>
      <c r="F14" s="30">
        <v>225760</v>
      </c>
    </row>
    <row r="16" ht="22" customHeight="1" spans="1:6" x14ac:dyDescent="0.25">
      <c r="A16" s="25" t="s">
        <v>63</v>
      </c>
      <c r="B16" s="25"/>
      <c r="C16" s="25"/>
      <c r="D16" s="25"/>
      <c r="E16" s="25"/>
      <c r="F16" s="25"/>
    </row>
    <row r="17" spans="1:6" x14ac:dyDescent="0.25">
      <c r="A17" s="26" t="s">
        <v>8</v>
      </c>
      <c r="B17" s="27" t="s">
        <v>32</v>
      </c>
      <c r="C17" s="27" t="s">
        <v>33</v>
      </c>
      <c r="D17" s="27" t="s">
        <v>34</v>
      </c>
      <c r="E17" s="26" t="s">
        <v>11</v>
      </c>
      <c r="F17" s="28" t="s">
        <v>35</v>
      </c>
    </row>
    <row r="18" spans="1:6" x14ac:dyDescent="0.25">
      <c r="A18" s="29" t="s">
        <v>64</v>
      </c>
      <c r="B18" t="s">
        <v>37</v>
      </c>
      <c r="C18" t="s">
        <v>38</v>
      </c>
      <c r="D18" t="s">
        <v>65</v>
      </c>
      <c r="E18" s="29" t="s">
        <v>18</v>
      </c>
      <c r="F18" s="30">
        <v>544000</v>
      </c>
    </row>
    <row r="20" ht="22" customHeight="1" spans="1:6" x14ac:dyDescent="0.25">
      <c r="A20" s="25" t="s">
        <v>66</v>
      </c>
      <c r="B20" s="25"/>
      <c r="C20" s="25"/>
      <c r="D20" s="25"/>
      <c r="E20" s="25"/>
      <c r="F20" s="25"/>
    </row>
    <row r="21" spans="1:6" x14ac:dyDescent="0.25">
      <c r="A21" s="26" t="s">
        <v>8</v>
      </c>
      <c r="B21" s="27" t="s">
        <v>32</v>
      </c>
      <c r="C21" s="27" t="s">
        <v>33</v>
      </c>
      <c r="D21" s="27" t="s">
        <v>34</v>
      </c>
      <c r="E21" s="26" t="s">
        <v>11</v>
      </c>
      <c r="F21" s="28" t="s">
        <v>35</v>
      </c>
    </row>
    <row r="22" spans="1:6" x14ac:dyDescent="0.25">
      <c r="A22" s="29" t="s">
        <v>67</v>
      </c>
      <c r="B22" t="s">
        <v>44</v>
      </c>
      <c r="C22" t="s">
        <v>68</v>
      </c>
      <c r="D22" t="s">
        <v>69</v>
      </c>
      <c r="E22" s="29" t="s">
        <v>18</v>
      </c>
      <c r="F22" s="30">
        <v>149600</v>
      </c>
    </row>
    <row r="23" spans="1:6" x14ac:dyDescent="0.25">
      <c r="A23" s="29" t="s">
        <v>70</v>
      </c>
      <c r="B23" t="s">
        <v>44</v>
      </c>
      <c r="C23" t="s">
        <v>68</v>
      </c>
      <c r="D23" t="s">
        <v>71</v>
      </c>
      <c r="E23" s="29" t="s">
        <v>18</v>
      </c>
      <c r="F23" s="30">
        <v>285600</v>
      </c>
    </row>
    <row r="24" spans="1:6" x14ac:dyDescent="0.25">
      <c r="A24" s="29" t="s">
        <v>72</v>
      </c>
      <c r="B24" t="s">
        <v>47</v>
      </c>
      <c r="C24" t="s">
        <v>68</v>
      </c>
      <c r="D24" t="s">
        <v>73</v>
      </c>
      <c r="E24" s="29" t="s">
        <v>18</v>
      </c>
      <c r="F24" s="30">
        <v>217600</v>
      </c>
    </row>
    <row r="25" spans="1:6" x14ac:dyDescent="0.25">
      <c r="A25" s="29" t="s">
        <v>74</v>
      </c>
      <c r="B25" t="s">
        <v>50</v>
      </c>
      <c r="C25" t="s">
        <v>68</v>
      </c>
      <c r="D25" t="s">
        <v>75</v>
      </c>
      <c r="E25" s="29" t="s">
        <v>18</v>
      </c>
      <c r="F25" s="30">
        <v>231200</v>
      </c>
    </row>
    <row r="26" spans="1:6" x14ac:dyDescent="0.25">
      <c r="A26" s="29" t="s">
        <v>76</v>
      </c>
      <c r="B26" t="s">
        <v>53</v>
      </c>
      <c r="C26" t="s">
        <v>68</v>
      </c>
      <c r="D26" t="s">
        <v>77</v>
      </c>
      <c r="E26" s="29" t="s">
        <v>18</v>
      </c>
      <c r="F26" s="30">
        <v>108800</v>
      </c>
    </row>
    <row r="27" spans="1:6" x14ac:dyDescent="0.25">
      <c r="A27" s="29" t="s">
        <v>78</v>
      </c>
      <c r="B27" t="s">
        <v>56</v>
      </c>
      <c r="C27" t="s">
        <v>68</v>
      </c>
      <c r="D27" t="s">
        <v>79</v>
      </c>
      <c r="E27" s="29" t="s">
        <v>18</v>
      </c>
      <c r="F27" s="30">
        <v>95200</v>
      </c>
    </row>
    <row r="28" spans="1:6" x14ac:dyDescent="0.25">
      <c r="A28" s="29" t="s">
        <v>80</v>
      </c>
      <c r="B28" t="s">
        <v>58</v>
      </c>
      <c r="C28" t="s">
        <v>68</v>
      </c>
      <c r="D28" t="s">
        <v>81</v>
      </c>
      <c r="E28" s="29" t="s">
        <v>18</v>
      </c>
      <c r="F28" s="30">
        <v>272000</v>
      </c>
    </row>
    <row r="29" spans="1:6" x14ac:dyDescent="0.25">
      <c r="A29" s="29" t="s">
        <v>82</v>
      </c>
      <c r="B29" t="s">
        <v>60</v>
      </c>
      <c r="C29" t="s">
        <v>68</v>
      </c>
      <c r="D29" t="s">
        <v>81</v>
      </c>
      <c r="E29" s="29" t="s">
        <v>18</v>
      </c>
      <c r="F29" s="30">
        <v>272000</v>
      </c>
    </row>
    <row r="30" spans="1:6" x14ac:dyDescent="0.25">
      <c r="A30" s="29" t="s">
        <v>83</v>
      </c>
      <c r="B30" t="s">
        <v>62</v>
      </c>
      <c r="C30" t="s">
        <v>68</v>
      </c>
      <c r="D30" t="s">
        <v>81</v>
      </c>
      <c r="E30" s="29" t="s">
        <v>18</v>
      </c>
      <c r="F30" s="30">
        <v>272000</v>
      </c>
    </row>
    <row r="31" spans="1:6" x14ac:dyDescent="0.25">
      <c r="A31" s="29" t="s">
        <v>84</v>
      </c>
      <c r="B31" t="s">
        <v>85</v>
      </c>
      <c r="C31" t="s">
        <v>68</v>
      </c>
      <c r="D31" t="s">
        <v>86</v>
      </c>
      <c r="E31" s="29" t="s">
        <v>18</v>
      </c>
      <c r="F31" s="30">
        <v>81600</v>
      </c>
    </row>
    <row r="33" ht="22" customHeight="1" spans="1:6" x14ac:dyDescent="0.25">
      <c r="A33" s="25" t="s">
        <v>87</v>
      </c>
      <c r="B33" s="25"/>
      <c r="C33" s="25"/>
      <c r="D33" s="25"/>
      <c r="E33" s="25"/>
      <c r="F33" s="25"/>
    </row>
    <row r="34" spans="1:6" x14ac:dyDescent="0.25">
      <c r="A34" s="26" t="s">
        <v>8</v>
      </c>
      <c r="B34" s="27" t="s">
        <v>32</v>
      </c>
      <c r="C34" s="27" t="s">
        <v>33</v>
      </c>
      <c r="D34" s="27" t="s">
        <v>34</v>
      </c>
      <c r="E34" s="26" t="s">
        <v>11</v>
      </c>
      <c r="F34" s="28" t="s">
        <v>35</v>
      </c>
    </row>
    <row r="35" spans="1:6" x14ac:dyDescent="0.25">
      <c r="A35" s="29" t="s">
        <v>88</v>
      </c>
      <c r="B35" t="s">
        <v>44</v>
      </c>
      <c r="C35" t="s">
        <v>89</v>
      </c>
      <c r="D35" t="s">
        <v>90</v>
      </c>
      <c r="E35" s="29" t="s">
        <v>18</v>
      </c>
      <c r="F35" s="30">
        <v>204000</v>
      </c>
    </row>
    <row r="36" spans="1:6" x14ac:dyDescent="0.25">
      <c r="A36" s="29" t="s">
        <v>91</v>
      </c>
      <c r="B36" t="s">
        <v>44</v>
      </c>
      <c r="C36" t="s">
        <v>89</v>
      </c>
      <c r="D36" t="s">
        <v>92</v>
      </c>
      <c r="E36" s="29" t="s">
        <v>18</v>
      </c>
      <c r="F36" s="30">
        <v>652800</v>
      </c>
    </row>
    <row r="37" spans="1:6" x14ac:dyDescent="0.25">
      <c r="A37" s="29" t="s">
        <v>93</v>
      </c>
      <c r="B37" t="s">
        <v>47</v>
      </c>
      <c r="C37" t="s">
        <v>89</v>
      </c>
      <c r="D37" t="s">
        <v>94</v>
      </c>
      <c r="E37" s="29" t="s">
        <v>18</v>
      </c>
      <c r="F37" s="30">
        <v>81600</v>
      </c>
    </row>
    <row r="38" spans="1:6" x14ac:dyDescent="0.25">
      <c r="A38" s="29" t="s">
        <v>95</v>
      </c>
      <c r="B38" t="s">
        <v>47</v>
      </c>
      <c r="C38" t="s">
        <v>89</v>
      </c>
      <c r="D38" t="s">
        <v>96</v>
      </c>
      <c r="E38" s="29" t="s">
        <v>18</v>
      </c>
      <c r="F38" s="30">
        <v>190400</v>
      </c>
    </row>
    <row r="39" spans="1:6" x14ac:dyDescent="0.25">
      <c r="A39" s="29" t="s">
        <v>97</v>
      </c>
      <c r="B39" t="s">
        <v>50</v>
      </c>
      <c r="C39" t="s">
        <v>89</v>
      </c>
      <c r="D39" t="s">
        <v>98</v>
      </c>
      <c r="E39" s="29" t="s">
        <v>18</v>
      </c>
      <c r="F39" s="30">
        <v>231200</v>
      </c>
    </row>
    <row r="40" spans="1:6" x14ac:dyDescent="0.25">
      <c r="A40" s="29" t="s">
        <v>99</v>
      </c>
      <c r="B40" t="s">
        <v>53</v>
      </c>
      <c r="C40" t="s">
        <v>89</v>
      </c>
      <c r="D40" t="s">
        <v>100</v>
      </c>
      <c r="E40" s="29" t="s">
        <v>18</v>
      </c>
      <c r="F40" s="30">
        <v>149600</v>
      </c>
    </row>
    <row r="41" spans="1:6" x14ac:dyDescent="0.25">
      <c r="A41" s="29" t="s">
        <v>101</v>
      </c>
      <c r="B41" t="s">
        <v>56</v>
      </c>
      <c r="C41" t="s">
        <v>89</v>
      </c>
      <c r="D41" t="s">
        <v>102</v>
      </c>
      <c r="E41" s="29" t="s">
        <v>18</v>
      </c>
      <c r="F41" s="30">
        <v>108800</v>
      </c>
    </row>
    <row r="42" spans="1:6" x14ac:dyDescent="0.25">
      <c r="A42" s="29" t="s">
        <v>103</v>
      </c>
      <c r="B42" t="s">
        <v>58</v>
      </c>
      <c r="C42" t="s">
        <v>89</v>
      </c>
      <c r="D42" t="s">
        <v>104</v>
      </c>
      <c r="E42" s="29" t="s">
        <v>18</v>
      </c>
      <c r="F42" s="30">
        <v>227120</v>
      </c>
    </row>
    <row r="43" spans="1:6" x14ac:dyDescent="0.25">
      <c r="A43" s="29" t="s">
        <v>105</v>
      </c>
      <c r="B43" t="s">
        <v>60</v>
      </c>
      <c r="C43" t="s">
        <v>89</v>
      </c>
      <c r="D43" t="s">
        <v>104</v>
      </c>
      <c r="E43" s="29" t="s">
        <v>18</v>
      </c>
      <c r="F43" s="30">
        <v>227120</v>
      </c>
    </row>
    <row r="44" spans="1:6" x14ac:dyDescent="0.25">
      <c r="A44" s="29" t="s">
        <v>106</v>
      </c>
      <c r="B44" t="s">
        <v>62</v>
      </c>
      <c r="C44" t="s">
        <v>89</v>
      </c>
      <c r="D44" t="s">
        <v>104</v>
      </c>
      <c r="E44" s="29" t="s">
        <v>18</v>
      </c>
      <c r="F44" s="30">
        <v>225760</v>
      </c>
    </row>
    <row r="45" spans="1:6" x14ac:dyDescent="0.25">
      <c r="A45" s="29" t="s">
        <v>107</v>
      </c>
      <c r="B45" t="s">
        <v>108</v>
      </c>
      <c r="C45" t="s">
        <v>89</v>
      </c>
      <c r="D45" t="s">
        <v>109</v>
      </c>
      <c r="E45" s="29" t="s">
        <v>18</v>
      </c>
      <c r="F45" s="30">
        <v>81600</v>
      </c>
    </row>
    <row r="46" spans="1:6" x14ac:dyDescent="0.25">
      <c r="A46" s="29" t="s">
        <v>110</v>
      </c>
      <c r="B46" t="s">
        <v>85</v>
      </c>
      <c r="C46" t="s">
        <v>89</v>
      </c>
      <c r="D46" t="s">
        <v>111</v>
      </c>
      <c r="E46" s="29" t="s">
        <v>18</v>
      </c>
      <c r="F46" s="30">
        <v>149600</v>
      </c>
    </row>
    <row r="48" ht="22" customHeight="1" spans="1:6" x14ac:dyDescent="0.25">
      <c r="A48" s="25" t="s">
        <v>112</v>
      </c>
      <c r="B48" s="25"/>
      <c r="C48" s="25"/>
      <c r="D48" s="25"/>
      <c r="E48" s="25"/>
      <c r="F48" s="25"/>
    </row>
    <row r="49" spans="1:6" x14ac:dyDescent="0.25">
      <c r="A49" s="26" t="s">
        <v>8</v>
      </c>
      <c r="B49" s="27" t="s">
        <v>32</v>
      </c>
      <c r="C49" s="27" t="s">
        <v>33</v>
      </c>
      <c r="D49" s="27" t="s">
        <v>34</v>
      </c>
      <c r="E49" s="26" t="s">
        <v>11</v>
      </c>
      <c r="F49" s="28" t="s">
        <v>35</v>
      </c>
    </row>
    <row r="50" spans="1:6" x14ac:dyDescent="0.25">
      <c r="A50" s="29" t="s">
        <v>113</v>
      </c>
      <c r="B50" t="s">
        <v>53</v>
      </c>
      <c r="C50" t="s">
        <v>114</v>
      </c>
      <c r="D50" t="s">
        <v>115</v>
      </c>
      <c r="E50" s="29" t="s">
        <v>18</v>
      </c>
      <c r="F50" s="30">
        <v>204000</v>
      </c>
    </row>
    <row r="51" spans="1:6" x14ac:dyDescent="0.25">
      <c r="A51" s="29" t="s">
        <v>116</v>
      </c>
      <c r="B51" t="s">
        <v>53</v>
      </c>
      <c r="C51" t="s">
        <v>41</v>
      </c>
      <c r="D51" t="s">
        <v>117</v>
      </c>
      <c r="E51" s="29" t="s">
        <v>118</v>
      </c>
      <c r="F51" s="30">
        <v>122400</v>
      </c>
    </row>
    <row r="52" spans="1:6" x14ac:dyDescent="0.25">
      <c r="A52" s="29" t="s">
        <v>119</v>
      </c>
      <c r="B52" t="s">
        <v>108</v>
      </c>
      <c r="C52" t="s">
        <v>120</v>
      </c>
      <c r="D52" t="s">
        <v>121</v>
      </c>
      <c r="E52" s="29" t="s">
        <v>18</v>
      </c>
      <c r="F52" s="30">
        <v>244800</v>
      </c>
    </row>
    <row r="53" spans="1:6" x14ac:dyDescent="0.25">
      <c r="A53" s="29" t="s">
        <v>122</v>
      </c>
      <c r="B53" t="s">
        <v>108</v>
      </c>
      <c r="C53" t="s">
        <v>114</v>
      </c>
      <c r="D53" t="s">
        <v>123</v>
      </c>
      <c r="E53" s="29" t="s">
        <v>18</v>
      </c>
      <c r="F53" s="30">
        <v>68000</v>
      </c>
    </row>
    <row r="54" spans="1:6" x14ac:dyDescent="0.25">
      <c r="A54" s="29" t="s">
        <v>124</v>
      </c>
      <c r="B54" t="s">
        <v>108</v>
      </c>
      <c r="C54" t="s">
        <v>114</v>
      </c>
      <c r="D54" t="s">
        <v>115</v>
      </c>
      <c r="E54" s="29" t="s">
        <v>18</v>
      </c>
      <c r="F54" s="30">
        <v>176800</v>
      </c>
    </row>
    <row r="55" spans="1:6" x14ac:dyDescent="0.25">
      <c r="A55" s="29" t="s">
        <v>125</v>
      </c>
      <c r="B55" t="s">
        <v>85</v>
      </c>
      <c r="C55" t="s">
        <v>120</v>
      </c>
      <c r="D55" t="s">
        <v>126</v>
      </c>
      <c r="E55" s="29" t="s">
        <v>18</v>
      </c>
      <c r="F55" s="30">
        <v>136000</v>
      </c>
    </row>
    <row r="57" ht="22" customHeight="1" spans="1:6" x14ac:dyDescent="0.25">
      <c r="A57" s="25" t="s">
        <v>127</v>
      </c>
      <c r="B57" s="25"/>
      <c r="C57" s="25"/>
      <c r="D57" s="25"/>
      <c r="E57" s="25"/>
      <c r="F57" s="25"/>
    </row>
    <row r="58" spans="1:6" x14ac:dyDescent="0.25">
      <c r="A58" s="26" t="s">
        <v>8</v>
      </c>
      <c r="B58" s="27" t="s">
        <v>32</v>
      </c>
      <c r="C58" s="27" t="s">
        <v>33</v>
      </c>
      <c r="D58" s="27" t="s">
        <v>34</v>
      </c>
      <c r="E58" s="26" t="s">
        <v>11</v>
      </c>
      <c r="F58" s="28" t="s">
        <v>35</v>
      </c>
    </row>
    <row r="59" spans="1:6" x14ac:dyDescent="0.25">
      <c r="A59" s="29" t="s">
        <v>128</v>
      </c>
      <c r="B59" t="s">
        <v>37</v>
      </c>
      <c r="C59" t="s">
        <v>129</v>
      </c>
      <c r="D59" t="s">
        <v>130</v>
      </c>
      <c r="E59" s="29" t="s">
        <v>18</v>
      </c>
      <c r="F59" s="30">
        <v>108800</v>
      </c>
    </row>
    <row r="60" spans="1:6" x14ac:dyDescent="0.25">
      <c r="A60" s="29" t="s">
        <v>131</v>
      </c>
      <c r="B60" t="s">
        <v>37</v>
      </c>
      <c r="C60" t="s">
        <v>114</v>
      </c>
      <c r="D60" t="s">
        <v>132</v>
      </c>
      <c r="E60" s="29" t="s">
        <v>18</v>
      </c>
      <c r="F60" s="30">
        <v>136000</v>
      </c>
    </row>
    <row r="61" spans="1:6" x14ac:dyDescent="0.25">
      <c r="A61" s="29" t="s">
        <v>133</v>
      </c>
      <c r="B61" t="s">
        <v>44</v>
      </c>
      <c r="C61" t="s">
        <v>41</v>
      </c>
      <c r="D61" t="s">
        <v>134</v>
      </c>
      <c r="E61" s="29" t="s">
        <v>18</v>
      </c>
      <c r="F61" s="30">
        <v>299200</v>
      </c>
    </row>
    <row r="62" spans="1:6" x14ac:dyDescent="0.25">
      <c r="A62" s="29" t="s">
        <v>135</v>
      </c>
      <c r="B62" t="s">
        <v>50</v>
      </c>
      <c r="C62" t="s">
        <v>129</v>
      </c>
      <c r="D62" t="s">
        <v>136</v>
      </c>
      <c r="E62" s="29" t="s">
        <v>118</v>
      </c>
      <c r="F62" s="30">
        <v>190400</v>
      </c>
    </row>
    <row r="63" spans="1:6" x14ac:dyDescent="0.25">
      <c r="A63" s="29" t="s">
        <v>137</v>
      </c>
      <c r="B63" t="s">
        <v>108</v>
      </c>
      <c r="C63" t="s">
        <v>129</v>
      </c>
      <c r="D63" t="s">
        <v>138</v>
      </c>
      <c r="E63" s="29" t="s">
        <v>18</v>
      </c>
      <c r="F63" s="30">
        <v>108800</v>
      </c>
    </row>
    <row r="64" spans="1:6" x14ac:dyDescent="0.25">
      <c r="A64" s="29" t="s">
        <v>139</v>
      </c>
      <c r="B64" t="s">
        <v>85</v>
      </c>
      <c r="C64" t="s">
        <v>114</v>
      </c>
      <c r="D64" t="s">
        <v>140</v>
      </c>
      <c r="E64" s="29" t="s">
        <v>18</v>
      </c>
      <c r="F64" s="30">
        <v>176800</v>
      </c>
    </row>
  </sheetData>
  <mergeCells count="7">
    <mergeCell ref="A1:F1"/>
    <mergeCell ref="A3:F3"/>
    <mergeCell ref="A16:F16"/>
    <mergeCell ref="A20:F20"/>
    <mergeCell ref="A33:F33"/>
    <mergeCell ref="A48:F48"/>
    <mergeCell ref="A57:F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Macro-Tareas y Especialidades</vt:lpstr>
      <vt:lpstr>Detalle de Partidas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Presupuestos Obras Menores</dc:creator>
  <dc:title/>
  <dc:subject/>
  <dc:description/>
  <cp:keywords/>
  <cp:category/>
  <cp:lastModifiedBy>Unknown</cp:lastModifiedBy>
  <dcterms:created xsi:type="dcterms:W3CDTF">2026-09-30T02:11:07Z</dcterms:created>
  <dcterms:modified xsi:type="dcterms:W3CDTF">2026-09-30T02:11:07Z</dcterms:modified>
</cp:coreProperties>
</file>