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 de Obras" state="visible" r:id="rId4"/>
    <sheet sheetId="2" name="Resumen Ejecutivo" state="visible" r:id="rId5"/>
  </sheets>
  <calcPr calcId="171027"/>
</workbook>
</file>

<file path=xl/sharedStrings.xml><?xml version="1.0" encoding="utf-8"?>
<sst xmlns="http://schemas.openxmlformats.org/spreadsheetml/2006/main" count="247" uniqueCount="183">
  <si>
    <t>PRESUPUESTO DE OBRAS MENORES - CONTROL Y AJUSTE DE PARTIDAS</t>
  </si>
  <si>
    <t>Cliente: María Luz Camus Romo</t>
  </si>
  <si>
    <t>Meta Presupuesto:</t>
  </si>
  <si>
    <t>Dirección: Miguel Claro 1691 D - Providencia</t>
  </si>
  <si>
    <t>Total Actual:</t>
  </si>
  <si>
    <t>Cotización: PTO-2026-078  |  Fecha: 2026-09-21  |  Plazo: 50 días corridos</t>
  </si>
  <si>
    <t>Diferencia p/ Meta:</t>
  </si>
  <si>
    <t>💡 INSTRUCCIÓN PARA EL MAESTRO / CONSTRUCTOR: Modifica las celdas en amarillo (Cantidad y Precio Unitario). Las fórmulas calcularán subtotales y el panel superior te dirá cuánto te falta o te sobra para los $9.180.000.</t>
  </si>
  <si>
    <t>#</t>
  </si>
  <si>
    <t>Partida / Trabajo</t>
  </si>
  <si>
    <t>Especificación y Detalle</t>
  </si>
  <si>
    <t>Unidad</t>
  </si>
  <si>
    <t>Cantidad</t>
  </si>
  <si>
    <t>Precio Unitario ($)</t>
  </si>
  <si>
    <t>Subtotal Partida ($)</t>
  </si>
  <si>
    <t>1. RECINTO: GENERAL (Medidas: 3m × 3m × 2.4m)</t>
  </si>
  <si>
    <t>1.1</t>
  </si>
  <si>
    <t>Empastado y Reparación base de muros y fisuras de la casa</t>
  </si>
  <si>
    <t>Preparación y reparación de fisuras y enlucido base en muros de la vivienda</t>
  </si>
  <si>
    <t>gl</t>
  </si>
  <si>
    <t>1.2</t>
  </si>
  <si>
    <t>Reparación de filtración en escala y pintura</t>
  </si>
  <si>
    <t>Sellado, reparación de estuco/yeso y acabado de pintura</t>
  </si>
  <si>
    <t>1.3</t>
  </si>
  <si>
    <t>Reparación de 6 puertas interiores</t>
  </si>
  <si>
    <t>Ajuste de bisagras, cerraduras, rebaje y cuadratura</t>
  </si>
  <si>
    <t>1.4</t>
  </si>
  <si>
    <t>Pintura exterior (2 pisos), reparación de alero exterior y tratamiento de humedad en muros bajos</t>
  </si>
  <si>
    <t>Limpieza y pintura exterior de fachada (2 pisos), reparación estructural y sellado de alero exterior, y tratamiento antihumedad con picado, puente adherente e impermeabilización de muros bajos</t>
  </si>
  <si>
    <t>1.5</t>
  </si>
  <si>
    <t>Reparación de patio, retiro de escombros y aseo general</t>
  </si>
  <si>
    <t>Despeje, limpieza fina, acopio y retiro autorizado de escombros</t>
  </si>
  <si>
    <t>SUBTOTAL GENERAL:</t>
  </si>
  <si>
    <t>2. RECINTO: LIVING / COMEDOR (Medidas: 7m × 3m × 2.4m)</t>
  </si>
  <si>
    <t>2.1</t>
  </si>
  <si>
    <t>Reparación de Ventanal (vidrios 20x30 cm)</t>
  </si>
  <si>
    <t>Mano de obra, suministro de vidrios 20x30, sellado con silicona y junquillos</t>
  </si>
  <si>
    <t>2.2</t>
  </si>
  <si>
    <t>Retiro de Parquet existente (21 m²)</t>
  </si>
  <si>
    <t>Desmonte cuidadoso de entablado de parquet, despeje y acopio de material</t>
  </si>
  <si>
    <t>2.3</t>
  </si>
  <si>
    <t>Instalación de Cerámica de Piso (21 m²)</t>
  </si>
  <si>
    <t>Incluye adhesivo cerámico bekron, fragüe, nivelación y colocación</t>
  </si>
  <si>
    <t>2.4</t>
  </si>
  <si>
    <t>Picado de piso para tuberías y canalización eléctrica</t>
  </si>
  <si>
    <t>Ranurado y apertura de trazado para embutir canalizaciones eléctricas subterráneas</t>
  </si>
  <si>
    <t>2.5</t>
  </si>
  <si>
    <t>Puntos eléctricos (6 enchufes + 4 centros de luz), canalización y cableado de materiales</t>
  </si>
  <si>
    <t>Incluye suministro de módulos certificados SEC, canalizaciones, cableado normalizado, cajas de derivación y tapas</t>
  </si>
  <si>
    <t>2.6</t>
  </si>
  <si>
    <t>Pintura y empastado completo de muros (Pintura incluida)</t>
  </si>
  <si>
    <t>Empastado, lijado prolijo y aplicación de 2 manos de pintura esmalte al agua en muros de living y comedor</t>
  </si>
  <si>
    <t>SUBTOTAL LIVING / COMEDOR:</t>
  </si>
  <si>
    <t>3. RECINTO: PASILLO (Medidas: 2m × 1m × 2.4m)</t>
  </si>
  <si>
    <t>3.1</t>
  </si>
  <si>
    <t>Retiro de Parquet existente</t>
  </si>
  <si>
    <t>Desmonte y limpieza de base</t>
  </si>
  <si>
    <t>3.2</t>
  </si>
  <si>
    <t>Instalación de Cerámica con materiales incluidos</t>
  </si>
  <si>
    <t>Nivelación, adhesivo, fraguado y cerámica para pasillo</t>
  </si>
  <si>
    <t>3.3</t>
  </si>
  <si>
    <t>Puntos eléctricos (2 enchufes + 2 centros de luz + 1 interruptor), canalización y cableado de materiales</t>
  </si>
  <si>
    <t>3.4</t>
  </si>
  <si>
    <t>Pintura y empastado de muros y cielos (Pintura incluida)</t>
  </si>
  <si>
    <t>Preparación de muros, empaste y aplicación de 2 manos de esmalte al agua en pasillo</t>
  </si>
  <si>
    <t>SUBTOTAL PASILLO:</t>
  </si>
  <si>
    <t>4. RECINTO: COCINA (Medidas: 2m × 1.5m × 2.4m)</t>
  </si>
  <si>
    <t>4.1</t>
  </si>
  <si>
    <t>Suministro e Instalación de Puerta Nueva</t>
  </si>
  <si>
    <t>Montaje de hoja, colocación de marco/bisagras y cerradura</t>
  </si>
  <si>
    <t>un</t>
  </si>
  <si>
    <t>4.2</t>
  </si>
  <si>
    <t>Instalación de Cerámica en Muros de Cocina</t>
  </si>
  <si>
    <t>Revestimiento cerámico de salpicaderos/muros, adhesivo y fragüe</t>
  </si>
  <si>
    <t>4.3</t>
  </si>
  <si>
    <t>Puntos eléctricos (2 enchufes + módulo encendido + 1 centro luz), canalización y cableado de materiales</t>
  </si>
  <si>
    <t>4.4</t>
  </si>
  <si>
    <t>Pintura esmalte al agua en cielos y muros (Pintura incluida)</t>
  </si>
  <si>
    <t>Preparación de superficies, tratamiento antihumedad y pintura esmalte al agua en cielos y muros de cocina</t>
  </si>
  <si>
    <t>SUBTOTAL COCINA:</t>
  </si>
  <si>
    <t>5. RECINTO: BAÑO PRIMER PISO (Medidas: 2m × 3m × 2.4m)</t>
  </si>
  <si>
    <t>5.1</t>
  </si>
  <si>
    <t>Instalación de Piso Vinílico</t>
  </si>
  <si>
    <t>Preparación de base y colocación de piso vinílico resistente a humedad</t>
  </si>
  <si>
    <t>5.2</t>
  </si>
  <si>
    <t>Construcción e Instalación de Cerámica en Receptáculo de ducha</t>
  </si>
  <si>
    <t>Impermeabilización previa, pendiente hacia desagüe y revestimiento cerámico</t>
  </si>
  <si>
    <t>5.3</t>
  </si>
  <si>
    <t>Cambio y Montaje de WC con fittings</t>
  </si>
  <si>
    <t>Desmonte de artefacto antiguo, sello de cera, pernos de anclaje y conexión flexible</t>
  </si>
  <si>
    <t>5.4</t>
  </si>
  <si>
    <t>Pintura Esmalte al Agua en Muros (2 Manos antihumedad)</t>
  </si>
  <si>
    <t>Preparación de muros, sellador y esmalte al agua fungicida para baño</t>
  </si>
  <si>
    <t>5.5</t>
  </si>
  <si>
    <t>Electricidad de baño (1 enchufe + 1 interruptor + canalizado)</t>
  </si>
  <si>
    <t>Puntos eléctricos con protección de humedad y conexión a tierra</t>
  </si>
  <si>
    <t>SUBTOTAL BAÑO PRIMER PISO:</t>
  </si>
  <si>
    <t>6. RECINTO: DORMITORIO PRIMER PISO (Medidas: 2m × 2m × 2.4m)</t>
  </si>
  <si>
    <t>6.1</t>
  </si>
  <si>
    <t>Instalación de Piso Vinílico en pieza</t>
  </si>
  <si>
    <t>Nivelación de base y postura de piso vinílico</t>
  </si>
  <si>
    <t>6.2</t>
  </si>
  <si>
    <t>Electricidad (2 enchufes + 1 interruptor + 1 centro luz)</t>
  </si>
  <si>
    <t>Canalizado, cableado y montaje de placas y módulos</t>
  </si>
  <si>
    <t>6.3</t>
  </si>
  <si>
    <t>Empastado integral, lijado y 2 manos de pintura esmalte al agua en dormitorio primer piso</t>
  </si>
  <si>
    <t>SUBTOTAL DORMITORIO PRIMER PISO:</t>
  </si>
  <si>
    <t>7. RECINTO: SEGUNDO PISO DORMITORIO 1 (Medidas: 3m × 3m × 2.4m)</t>
  </si>
  <si>
    <t>7.1</t>
  </si>
  <si>
    <t>Empastado integral, lijado y 2 manos de pintura esmalte al agua</t>
  </si>
  <si>
    <t>7.2</t>
  </si>
  <si>
    <t>Pulido y Vitrificado de Parquet (con vitrificante incluido)</t>
  </si>
  <si>
    <t>Pulido con máquina en grano fino y medio + aplicación de vitrificante de alto tráfico</t>
  </si>
  <si>
    <t>7.3</t>
  </si>
  <si>
    <t>Electricidad picada nueva: Puntos eléctricos (2 enchufes + 1 interruptor), canalización y cableado de materiales</t>
  </si>
  <si>
    <t>SUBTOTAL SEGUNDO PISO DORMITORIO 1:</t>
  </si>
  <si>
    <t>8. RECINTO: SEGUNDO PISO DORMITORIO 2 (Medidas: 3m × 3m × 2.4m)</t>
  </si>
  <si>
    <t>8.1</t>
  </si>
  <si>
    <t>8.2</t>
  </si>
  <si>
    <t>8.3</t>
  </si>
  <si>
    <t>SUBTOTAL SEGUNDO PISO DORMITORIO 2:</t>
  </si>
  <si>
    <t>9. RECINTO: SEGUNDO PISO DORMITORIO 3 (Medidas: 3m × 3m × 2.4m)</t>
  </si>
  <si>
    <t>9.1</t>
  </si>
  <si>
    <t>9.2</t>
  </si>
  <si>
    <t>9.3</t>
  </si>
  <si>
    <t>SUBTOTAL SEGUNDO PISO DORMITORIO 3:</t>
  </si>
  <si>
    <t>10. RECINTO: BAÑO SEGUNDO PISO (Medidas: 2m × 3m × 2.4m)</t>
  </si>
  <si>
    <t>10.1</t>
  </si>
  <si>
    <t>Gasfitería 2do Piso: Red de agua fría y caliente en tuberías PPR</t>
  </si>
  <si>
    <t>Trazado, termofusión en tuberías PPR, fittings y llaves de corte</t>
  </si>
  <si>
    <t>10.2</t>
  </si>
  <si>
    <t>Retiro de Tina existente y despeje de zona húmeda</t>
  </si>
  <si>
    <t>Desconexión de desagües, desmonte cuidadoso de tina y acopio</t>
  </si>
  <si>
    <t>10.3</t>
  </si>
  <si>
    <t>Conformación de bordes, impermeabilización y postura de cerámica</t>
  </si>
  <si>
    <t>10.4</t>
  </si>
  <si>
    <t>Cambio y Reparación de Cielo en Baño</t>
  </si>
  <si>
    <t>Remoción de planchas dañadas, reposición y sellado contra condensación</t>
  </si>
  <si>
    <t>10.5</t>
  </si>
  <si>
    <t>Reparación y Revestimiento de Cerámica en Muros</t>
  </si>
  <si>
    <t>Reposición y reparación de cerámicas dañadas en sector tina/ducha</t>
  </si>
  <si>
    <t>SUBTOTAL BAÑO SEGUNDO PISO:</t>
  </si>
  <si>
    <t>11. RECINTO: LOGIA (Medidas: 2m × 3m × 2.4m)</t>
  </si>
  <si>
    <t>11.1</t>
  </si>
  <si>
    <t>Confección de Radier de Hormigón</t>
  </si>
  <si>
    <t>Nivelación de terreno, base estabilizada, malla acma y vaciado de radier</t>
  </si>
  <si>
    <t>11.2</t>
  </si>
  <si>
    <t>Instalación de Cerámica de piso</t>
  </si>
  <si>
    <t>Adhesivo para exteriores/zonas húmedas, fragüe y postura</t>
  </si>
  <si>
    <t>11.3</t>
  </si>
  <si>
    <t>Instalación de Gasfitería (llave, desagüe y red de agua fría/caliente)</t>
  </si>
  <si>
    <t>Puntos de conexión para lavadero o lavadora con llave y sifón desagüe</t>
  </si>
  <si>
    <t>11.4</t>
  </si>
  <si>
    <t>Instalación Eléctrica (centro de luz + enchufe exterior protegido)</t>
  </si>
  <si>
    <t>Canalizado con materiales aptos para humedad y centro lumínico</t>
  </si>
  <si>
    <t>SUBTOTAL LOGIA:</t>
  </si>
  <si>
    <t>TOTAL COSTO DIRECTO OBRAS (100% INTEGRADO):</t>
  </si>
  <si>
    <t>RESUMEN EJECUTIVO POR RECINTO - DISTRIBUCIÓN DEL VALOR TOTAL</t>
  </si>
  <si>
    <t>Recinto / Espacio</t>
  </si>
  <si>
    <t>Subtotal Asignado ($)</t>
  </si>
  <si>
    <t>% Presupuesto</t>
  </si>
  <si>
    <t>Descripción de Cobertura</t>
  </si>
  <si>
    <t>GENERAL</t>
  </si>
  <si>
    <t>Muros base, escala, puertas, exterior unificado y aseo</t>
  </si>
  <si>
    <t>Living / Comedor</t>
  </si>
  <si>
    <t>Ventanal, parquet, cerámica, electricidad y pintura</t>
  </si>
  <si>
    <t>Pasillo</t>
  </si>
  <si>
    <t>Parquet, cerámica, electricidad y pintura</t>
  </si>
  <si>
    <t>Cocina</t>
  </si>
  <si>
    <t>Puerta, cerámica muros, electricidad y pintura cielos</t>
  </si>
  <si>
    <t>Baño Primer Piso</t>
  </si>
  <si>
    <t>Partidas de obra menor acordadas</t>
  </si>
  <si>
    <t>Dormitorio Primer Piso</t>
  </si>
  <si>
    <t>Piso vinílico, electricidad y pintura</t>
  </si>
  <si>
    <t>Segundo piso Dormitorio 1</t>
  </si>
  <si>
    <t>Pintura, pulido/vitrificado parquet y electricidad picada</t>
  </si>
  <si>
    <t>Segundo piso Dormitorio 2</t>
  </si>
  <si>
    <t>Segundo piso Dormitorio 3</t>
  </si>
  <si>
    <t>Baño Segundo piso</t>
  </si>
  <si>
    <t>Gasfitería PPR, retiro tina, receptáculo, cielo y cerámica</t>
  </si>
  <si>
    <t>Logia</t>
  </si>
  <si>
    <t>Radier, cerámica piso, gasfitería y electricidad</t>
  </si>
  <si>
    <t>TOTAL GLOBAL: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</si>
</sst>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$#,##0;($#,##0);&quot;-&quot;"/>
    <numFmt numFmtId="166" formatCode="0.0%"/>
  </numFmts>
  <fonts count="23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sz val="10"/>
    </font>
    <font>
      <b/>
      <sz val="9"/>
    </font>
    <font>
      <b/>
      <color rgb="1E3A8A"/>
      <sz val="11"/>
    </font>
    <font>
      <color rgb="475569"/>
      <sz val="9"/>
    </font>
    <font>
      <b/>
      <sz val="11"/>
    </font>
    <font>
      <b/>
      <sz val="9.5"/>
    </font>
    <font>
      <i/>
      <color rgb="1E293B"/>
      <sz val="8.5"/>
    </font>
    <font>
      <b/>
      <color rgb="FFFFFF"/>
      <sz val="9.5"/>
      <name val="Calibri"/>
    </font>
    <font>
      <b/>
      <color rgb="0F172A"/>
      <sz val="10"/>
      <name val="Calibri"/>
    </font>
    <font>
      <color rgb="64748B"/>
      <sz val="9"/>
    </font>
    <font>
      <b/>
      <color rgb="0F172A"/>
      <sz val="9.5"/>
    </font>
    <font>
      <color rgb="475569"/>
      <sz val="8.5"/>
    </font>
    <font>
      <sz val="9"/>
    </font>
    <font>
      <b/>
      <color rgb="1E293B"/>
      <sz val="9"/>
    </font>
    <font>
      <b/>
      <color rgb="1E3A8A"/>
      <sz val="10"/>
    </font>
    <font>
      <b/>
      <color rgb="FFFFFF"/>
      <sz val="11"/>
    </font>
    <font>
      <b/>
      <color rgb="FFFFFF"/>
      <sz val="12"/>
    </font>
    <font>
      <b/>
      <color rgb="FFFFFF"/>
      <sz val="13"/>
      <name val="Calibri"/>
    </font>
    <font>
      <b/>
      <color rgb="FFFFFF"/>
      <sz val="9.5"/>
    </font>
    <font>
      <b/>
    </font>
    <font>
      <color rgb="64748B"/>
      <sz val="8.5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EF08A"/>
      </patternFill>
    </fill>
    <fill>
      <patternFill patternType="solid">
        <fgColor rgb="2563EB"/>
      </patternFill>
    </fill>
    <fill>
      <patternFill patternType="solid">
        <fgColor rgb="E2E8F0"/>
      </patternFill>
    </fill>
    <fill>
      <patternFill patternType="solid">
        <fgColor rgb="FEF9C3"/>
      </patternFill>
    </fill>
    <fill>
      <patternFill patternType="solid">
        <fgColor rgb="F1F5F9"/>
      </patternFill>
    </fill>
  </fills>
  <borders count="5">
    <border>
      <left/>
      <right/>
      <top/>
      <bottom/>
      <diagonal/>
    </border>
    <border>
      <left/>
      <right/>
      <top style="thin">
        <color rgb="0F172A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thin">
        <color rgb="94A3B8"/>
      </top>
      <bottom style="thin">
        <color rgb="94A3B8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right" vertical="center"/>
    </xf>
    <xf numFmtId="0" fontId="10" fillId="5" borderId="0" xfId="0" applyFont="1" applyFill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4" fontId="7" fillId="6" borderId="2" xfId="0" applyNumberFormat="1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164" fontId="16" fillId="7" borderId="3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64" fontId="18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right" vertical="center"/>
    </xf>
    <xf numFmtId="0" fontId="0" fillId="0" borderId="0" xfId="0" applyAlignment="1">
      <alignment horizontal="center"/>
    </xf>
    <xf numFmtId="0" fontId="21" fillId="0" borderId="0" xfId="0" applyFont="1"/>
    <xf numFmtId="164" fontId="21" fillId="0" borderId="0" xfId="0" applyNumberFormat="1" applyFont="1"/>
    <xf numFmtId="166" fontId="0" fillId="0" borderId="0" xfId="0" applyNumberFormat="1"/>
    <xf numFmtId="0" fontId="22" fillId="0" borderId="0" xfId="0" applyFont="1"/>
    <xf numFmtId="0" fontId="2" fillId="0" borderId="0" xfId="0" applyFont="1" applyAlignment="1">
      <alignment horizontal="right"/>
    </xf>
    <xf numFmtId="164" fontId="4" fillId="0" borderId="4" xfId="0" applyNumberFormat="1" applyFont="1" applyBorder="1"/>
    <xf numFmtId="166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3" width="38" customWidth="1"/>
    <col min="4" max="4" width="10" customWidth="1"/>
    <col min="5" max="5" width="12" customWidth="1"/>
    <col min="6" max="6" width="18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3" t="s">
        <v>2</v>
      </c>
      <c r="F2" s="4">
        <v>9180000</v>
      </c>
      <c r="G2" s="4"/>
    </row>
    <row r="3" spans="1:7" x14ac:dyDescent="0.25">
      <c r="A3" s="5" t="s">
        <v>3</v>
      </c>
      <c r="B3" s="5"/>
      <c r="C3" s="5"/>
      <c r="D3" s="5"/>
      <c r="E3" s="3" t="s">
        <v>4</v>
      </c>
      <c r="F3" s="6">
        <f>G87</f>
        <v>9180000</v>
      </c>
      <c r="G3" s="6"/>
    </row>
    <row r="4" spans="1:7" x14ac:dyDescent="0.25">
      <c r="A4" s="5" t="s">
        <v>5</v>
      </c>
      <c r="B4" s="5"/>
      <c r="C4" s="5"/>
      <c r="D4" s="5"/>
      <c r="E4" s="3" t="s">
        <v>6</v>
      </c>
      <c r="F4" s="7">
        <f>F3-F2</f>
        <v>0</v>
      </c>
      <c r="G4" s="7"/>
    </row>
    <row r="5" ht="20" customHeight="1" spans="5:7" x14ac:dyDescent="0.25">
      <c r="E5" s="8" t="str">
        <f>IF(F4=0,"✅ ¡PRESUPUESTO CUADRADO EXACTO EN $9.180.000!",IF(F4&gt;0,"⚠️ SOBRAN " &amp; TEXT(F4,"$#,##0") &amp; " (DEBES BAJAR VALORES)","⚠️ FALTAN " &amp; TEXT(-F4,"$#,##0") &amp; " (DEBES SUBIR VALORES)"))</f>
        <v>✅ ¡PRESUPUESTO CUADRADO EXACTO EN $9.180.000!</v>
      </c>
      <c r="F5" s="8"/>
      <c r="G5" s="8"/>
    </row>
    <row r="6" ht="22" customHeight="1" spans="1:7" x14ac:dyDescent="0.25">
      <c r="A6" s="9" t="s">
        <v>7</v>
      </c>
      <c r="B6" s="9"/>
      <c r="C6" s="9"/>
      <c r="D6" s="9"/>
      <c r="E6" s="9"/>
      <c r="F6" s="9"/>
      <c r="G6" s="9"/>
    </row>
    <row r="8" ht="24" customHeight="1" spans="1:7" x14ac:dyDescent="0.25">
      <c r="A8" s="10" t="s">
        <v>8</v>
      </c>
      <c r="B8" s="11" t="s">
        <v>9</v>
      </c>
      <c r="C8" s="11" t="s">
        <v>10</v>
      </c>
      <c r="D8" s="10" t="s">
        <v>11</v>
      </c>
      <c r="E8" s="12" t="s">
        <v>12</v>
      </c>
      <c r="F8" s="12" t="s">
        <v>13</v>
      </c>
      <c r="G8" s="12" t="s">
        <v>14</v>
      </c>
    </row>
    <row r="9" ht="22" customHeight="1" spans="1:7" x14ac:dyDescent="0.25">
      <c r="A9" s="13" t="s">
        <v>15</v>
      </c>
      <c r="B9" s="13"/>
      <c r="C9" s="13"/>
      <c r="D9" s="13"/>
      <c r="E9" s="13"/>
      <c r="F9" s="13"/>
      <c r="G9" s="13"/>
    </row>
    <row r="10" ht="20" customHeight="1" spans="1:7" x14ac:dyDescent="0.25">
      <c r="A10" s="14" t="s">
        <v>16</v>
      </c>
      <c r="B10" s="15" t="s">
        <v>17</v>
      </c>
      <c r="C10" s="16" t="s">
        <v>18</v>
      </c>
      <c r="D10" s="17" t="s">
        <v>19</v>
      </c>
      <c r="E10" s="18">
        <v>1</v>
      </c>
      <c r="F10" s="19">
        <v>340000</v>
      </c>
      <c r="G10" s="20">
        <f>E10*F10</f>
        <v>340000</v>
      </c>
    </row>
    <row r="11" ht="20" customHeight="1" spans="1:7" x14ac:dyDescent="0.25">
      <c r="A11" s="14" t="s">
        <v>20</v>
      </c>
      <c r="B11" s="15" t="s">
        <v>21</v>
      </c>
      <c r="C11" s="16" t="s">
        <v>22</v>
      </c>
      <c r="D11" s="17" t="s">
        <v>19</v>
      </c>
      <c r="E11" s="18">
        <v>1</v>
      </c>
      <c r="F11" s="19">
        <v>272000</v>
      </c>
      <c r="G11" s="20">
        <f>E11*F11</f>
        <v>272000</v>
      </c>
    </row>
    <row r="12" ht="20" customHeight="1" spans="1:7" x14ac:dyDescent="0.25">
      <c r="A12" s="14" t="s">
        <v>23</v>
      </c>
      <c r="B12" s="15" t="s">
        <v>24</v>
      </c>
      <c r="C12" s="16" t="s">
        <v>25</v>
      </c>
      <c r="D12" s="17" t="s">
        <v>19</v>
      </c>
      <c r="E12" s="18">
        <v>1</v>
      </c>
      <c r="F12" s="19">
        <v>108800</v>
      </c>
      <c r="G12" s="20">
        <f>E12*F12</f>
        <v>108800</v>
      </c>
    </row>
    <row r="13" ht="20" customHeight="1" spans="1:7" x14ac:dyDescent="0.25">
      <c r="A13" s="14" t="s">
        <v>26</v>
      </c>
      <c r="B13" s="15" t="s">
        <v>27</v>
      </c>
      <c r="C13" s="16" t="s">
        <v>28</v>
      </c>
      <c r="D13" s="17" t="s">
        <v>19</v>
      </c>
      <c r="E13" s="18">
        <v>1</v>
      </c>
      <c r="F13" s="19">
        <v>544000</v>
      </c>
      <c r="G13" s="20">
        <f>E13*F13</f>
        <v>544000</v>
      </c>
    </row>
    <row r="14" ht="20" customHeight="1" spans="1:7" x14ac:dyDescent="0.25">
      <c r="A14" s="14" t="s">
        <v>29</v>
      </c>
      <c r="B14" s="15" t="s">
        <v>30</v>
      </c>
      <c r="C14" s="16" t="s">
        <v>31</v>
      </c>
      <c r="D14" s="17" t="s">
        <v>19</v>
      </c>
      <c r="E14" s="18">
        <v>1</v>
      </c>
      <c r="F14" s="19">
        <v>136000</v>
      </c>
      <c r="G14" s="20">
        <f>E14*F14</f>
        <v>136000</v>
      </c>
    </row>
    <row r="15" ht="20" customHeight="1" spans="1:7" x14ac:dyDescent="0.25">
      <c r="A15" s="21" t="s">
        <v>32</v>
      </c>
      <c r="B15" s="21"/>
      <c r="C15" s="21"/>
      <c r="D15" s="21"/>
      <c r="E15" s="21"/>
      <c r="F15" s="21"/>
      <c r="G15" s="22">
        <f>SUM(G10:G14)</f>
      </c>
    </row>
    <row r="17" ht="22" customHeight="1" spans="1:7" x14ac:dyDescent="0.25">
      <c r="A17" s="13" t="s">
        <v>33</v>
      </c>
      <c r="B17" s="13"/>
      <c r="C17" s="13"/>
      <c r="D17" s="13"/>
      <c r="E17" s="13"/>
      <c r="F17" s="13"/>
      <c r="G17" s="13"/>
    </row>
    <row r="18" ht="20" customHeight="1" spans="1:7" x14ac:dyDescent="0.25">
      <c r="A18" s="14" t="s">
        <v>34</v>
      </c>
      <c r="B18" s="15" t="s">
        <v>35</v>
      </c>
      <c r="C18" s="16" t="s">
        <v>36</v>
      </c>
      <c r="D18" s="17" t="s">
        <v>19</v>
      </c>
      <c r="E18" s="18">
        <v>1</v>
      </c>
      <c r="F18" s="19">
        <v>299200</v>
      </c>
      <c r="G18" s="20">
        <f>E18*F18</f>
        <v>299200</v>
      </c>
    </row>
    <row r="19" ht="20" customHeight="1" spans="1:7" x14ac:dyDescent="0.25">
      <c r="A19" s="14" t="s">
        <v>37</v>
      </c>
      <c r="B19" s="15" t="s">
        <v>38</v>
      </c>
      <c r="C19" s="16" t="s">
        <v>39</v>
      </c>
      <c r="D19" s="17" t="s">
        <v>19</v>
      </c>
      <c r="E19" s="18">
        <v>1</v>
      </c>
      <c r="F19" s="19">
        <v>204000</v>
      </c>
      <c r="G19" s="20">
        <f>E19*F19</f>
        <v>204000</v>
      </c>
    </row>
    <row r="20" ht="20" customHeight="1" spans="1:7" x14ac:dyDescent="0.25">
      <c r="A20" s="14" t="s">
        <v>40</v>
      </c>
      <c r="B20" s="15" t="s">
        <v>41</v>
      </c>
      <c r="C20" s="16" t="s">
        <v>42</v>
      </c>
      <c r="D20" s="17" t="s">
        <v>19</v>
      </c>
      <c r="E20" s="18">
        <v>1</v>
      </c>
      <c r="F20" s="19">
        <v>652800</v>
      </c>
      <c r="G20" s="20">
        <f>E20*F20</f>
        <v>652800</v>
      </c>
    </row>
    <row r="21" ht="20" customHeight="1" spans="1:7" x14ac:dyDescent="0.25">
      <c r="A21" s="14" t="s">
        <v>43</v>
      </c>
      <c r="B21" s="15" t="s">
        <v>44</v>
      </c>
      <c r="C21" s="16" t="s">
        <v>45</v>
      </c>
      <c r="D21" s="17" t="s">
        <v>19</v>
      </c>
      <c r="E21" s="18">
        <v>1</v>
      </c>
      <c r="F21" s="19">
        <v>149600</v>
      </c>
      <c r="G21" s="20">
        <f>E21*F21</f>
        <v>149600</v>
      </c>
    </row>
    <row r="22" ht="20" customHeight="1" spans="1:7" x14ac:dyDescent="0.25">
      <c r="A22" s="14" t="s">
        <v>46</v>
      </c>
      <c r="B22" s="15" t="s">
        <v>47</v>
      </c>
      <c r="C22" s="16" t="s">
        <v>48</v>
      </c>
      <c r="D22" s="17" t="s">
        <v>19</v>
      </c>
      <c r="E22" s="18">
        <v>1</v>
      </c>
      <c r="F22" s="19">
        <v>285600</v>
      </c>
      <c r="G22" s="20">
        <f>E22*F22</f>
        <v>285600</v>
      </c>
    </row>
    <row r="23" ht="20" customHeight="1" spans="1:7" x14ac:dyDescent="0.25">
      <c r="A23" s="14" t="s">
        <v>49</v>
      </c>
      <c r="B23" s="15" t="s">
        <v>50</v>
      </c>
      <c r="C23" s="16" t="s">
        <v>51</v>
      </c>
      <c r="D23" s="17" t="s">
        <v>19</v>
      </c>
      <c r="E23" s="18">
        <v>1</v>
      </c>
      <c r="F23" s="19">
        <v>380800</v>
      </c>
      <c r="G23" s="20">
        <f>E23*F23</f>
        <v>380800</v>
      </c>
    </row>
    <row r="24" ht="20" customHeight="1" spans="1:7" x14ac:dyDescent="0.25">
      <c r="A24" s="21" t="s">
        <v>52</v>
      </c>
      <c r="B24" s="21"/>
      <c r="C24" s="21"/>
      <c r="D24" s="21"/>
      <c r="E24" s="21"/>
      <c r="F24" s="21"/>
      <c r="G24" s="22">
        <f>SUM(G18:G23)</f>
      </c>
    </row>
    <row r="26" ht="22" customHeight="1" spans="1:7" x14ac:dyDescent="0.25">
      <c r="A26" s="13" t="s">
        <v>53</v>
      </c>
      <c r="B26" s="13"/>
      <c r="C26" s="13"/>
      <c r="D26" s="13"/>
      <c r="E26" s="13"/>
      <c r="F26" s="13"/>
      <c r="G26" s="13"/>
    </row>
    <row r="27" ht="20" customHeight="1" spans="1:7" x14ac:dyDescent="0.25">
      <c r="A27" s="14" t="s">
        <v>54</v>
      </c>
      <c r="B27" s="15" t="s">
        <v>55</v>
      </c>
      <c r="C27" s="16" t="s">
        <v>56</v>
      </c>
      <c r="D27" s="17" t="s">
        <v>19</v>
      </c>
      <c r="E27" s="18">
        <v>1</v>
      </c>
      <c r="F27" s="19">
        <v>81600</v>
      </c>
      <c r="G27" s="20">
        <f>E27*F27</f>
        <v>81600</v>
      </c>
    </row>
    <row r="28" ht="20" customHeight="1" spans="1:7" x14ac:dyDescent="0.25">
      <c r="A28" s="14" t="s">
        <v>57</v>
      </c>
      <c r="B28" s="15" t="s">
        <v>58</v>
      </c>
      <c r="C28" s="16" t="s">
        <v>59</v>
      </c>
      <c r="D28" s="17" t="s">
        <v>19</v>
      </c>
      <c r="E28" s="18">
        <v>1</v>
      </c>
      <c r="F28" s="19">
        <v>190400</v>
      </c>
      <c r="G28" s="20">
        <f>E28*F28</f>
        <v>190400</v>
      </c>
    </row>
    <row r="29" ht="20" customHeight="1" spans="1:7" x14ac:dyDescent="0.25">
      <c r="A29" s="14" t="s">
        <v>60</v>
      </c>
      <c r="B29" s="15" t="s">
        <v>61</v>
      </c>
      <c r="C29" s="16" t="s">
        <v>48</v>
      </c>
      <c r="D29" s="17" t="s">
        <v>19</v>
      </c>
      <c r="E29" s="18">
        <v>1</v>
      </c>
      <c r="F29" s="19">
        <v>217600</v>
      </c>
      <c r="G29" s="20">
        <f>E29*F29</f>
        <v>217600</v>
      </c>
    </row>
    <row r="30" ht="20" customHeight="1" spans="1:7" x14ac:dyDescent="0.25">
      <c r="A30" s="14" t="s">
        <v>62</v>
      </c>
      <c r="B30" s="15" t="s">
        <v>63</v>
      </c>
      <c r="C30" s="16" t="s">
        <v>64</v>
      </c>
      <c r="D30" s="17" t="s">
        <v>19</v>
      </c>
      <c r="E30" s="18">
        <v>1</v>
      </c>
      <c r="F30" s="19">
        <v>108800</v>
      </c>
      <c r="G30" s="20">
        <f>E30*F30</f>
        <v>108800</v>
      </c>
    </row>
    <row r="31" ht="20" customHeight="1" spans="1:7" x14ac:dyDescent="0.25">
      <c r="A31" s="21" t="s">
        <v>65</v>
      </c>
      <c r="B31" s="21"/>
      <c r="C31" s="21"/>
      <c r="D31" s="21"/>
      <c r="E31" s="21"/>
      <c r="F31" s="21"/>
      <c r="G31" s="22">
        <f>SUM(G27:G30)</f>
      </c>
    </row>
    <row r="33" ht="22" customHeight="1" spans="1:7" x14ac:dyDescent="0.25">
      <c r="A33" s="13" t="s">
        <v>66</v>
      </c>
      <c r="B33" s="13"/>
      <c r="C33" s="13"/>
      <c r="D33" s="13"/>
      <c r="E33" s="13"/>
      <c r="F33" s="13"/>
      <c r="G33" s="13"/>
    </row>
    <row r="34" ht="20" customHeight="1" spans="1:7" x14ac:dyDescent="0.25">
      <c r="A34" s="14" t="s">
        <v>67</v>
      </c>
      <c r="B34" s="15" t="s">
        <v>68</v>
      </c>
      <c r="C34" s="16" t="s">
        <v>69</v>
      </c>
      <c r="D34" s="17" t="s">
        <v>70</v>
      </c>
      <c r="E34" s="18">
        <v>1</v>
      </c>
      <c r="F34" s="19">
        <v>190400</v>
      </c>
      <c r="G34" s="20">
        <f>E34*F34</f>
        <v>190400</v>
      </c>
    </row>
    <row r="35" ht="20" customHeight="1" spans="1:7" x14ac:dyDescent="0.25">
      <c r="A35" s="14" t="s">
        <v>71</v>
      </c>
      <c r="B35" s="15" t="s">
        <v>72</v>
      </c>
      <c r="C35" s="16" t="s">
        <v>73</v>
      </c>
      <c r="D35" s="17" t="s">
        <v>19</v>
      </c>
      <c r="E35" s="18">
        <v>1</v>
      </c>
      <c r="F35" s="19">
        <v>231200</v>
      </c>
      <c r="G35" s="20">
        <f>E35*F35</f>
        <v>231200</v>
      </c>
    </row>
    <row r="36" ht="20" customHeight="1" spans="1:7" x14ac:dyDescent="0.25">
      <c r="A36" s="14" t="s">
        <v>74</v>
      </c>
      <c r="B36" s="15" t="s">
        <v>75</v>
      </c>
      <c r="C36" s="16" t="s">
        <v>48</v>
      </c>
      <c r="D36" s="17" t="s">
        <v>19</v>
      </c>
      <c r="E36" s="18">
        <v>1</v>
      </c>
      <c r="F36" s="19">
        <v>231200</v>
      </c>
      <c r="G36" s="20">
        <f>E36*F36</f>
        <v>231200</v>
      </c>
    </row>
    <row r="37" ht="20" customHeight="1" spans="1:7" x14ac:dyDescent="0.25">
      <c r="A37" s="14" t="s">
        <v>76</v>
      </c>
      <c r="B37" s="15" t="s">
        <v>77</v>
      </c>
      <c r="C37" s="16" t="s">
        <v>78</v>
      </c>
      <c r="D37" s="17" t="s">
        <v>19</v>
      </c>
      <c r="E37" s="18">
        <v>1</v>
      </c>
      <c r="F37" s="19">
        <v>95200</v>
      </c>
      <c r="G37" s="20">
        <f>E37*F37</f>
        <v>95200</v>
      </c>
    </row>
    <row r="38" ht="20" customHeight="1" spans="1:7" x14ac:dyDescent="0.25">
      <c r="A38" s="21" t="s">
        <v>79</v>
      </c>
      <c r="B38" s="21"/>
      <c r="C38" s="21"/>
      <c r="D38" s="21"/>
      <c r="E38" s="21"/>
      <c r="F38" s="21"/>
      <c r="G38" s="22">
        <f>SUM(G34:G37)</f>
      </c>
    </row>
    <row r="40" ht="22" customHeight="1" spans="1:7" x14ac:dyDescent="0.25">
      <c r="A40" s="13" t="s">
        <v>80</v>
      </c>
      <c r="B40" s="13"/>
      <c r="C40" s="13"/>
      <c r="D40" s="13"/>
      <c r="E40" s="13"/>
      <c r="F40" s="13"/>
      <c r="G40" s="13"/>
    </row>
    <row r="41" ht="20" customHeight="1" spans="1:7" x14ac:dyDescent="0.25">
      <c r="A41" s="14" t="s">
        <v>81</v>
      </c>
      <c r="B41" s="15" t="s">
        <v>82</v>
      </c>
      <c r="C41" s="16" t="s">
        <v>83</v>
      </c>
      <c r="D41" s="17" t="s">
        <v>19</v>
      </c>
      <c r="E41" s="18">
        <v>1</v>
      </c>
      <c r="F41" s="19">
        <v>149600</v>
      </c>
      <c r="G41" s="20">
        <f>E41*F41</f>
        <v>149600</v>
      </c>
    </row>
    <row r="42" ht="20" customHeight="1" spans="1:7" x14ac:dyDescent="0.25">
      <c r="A42" s="14" t="s">
        <v>84</v>
      </c>
      <c r="B42" s="15" t="s">
        <v>85</v>
      </c>
      <c r="C42" s="16" t="s">
        <v>86</v>
      </c>
      <c r="D42" s="17" t="s">
        <v>19</v>
      </c>
      <c r="E42" s="18">
        <v>1</v>
      </c>
      <c r="F42" s="19">
        <v>204000</v>
      </c>
      <c r="G42" s="20">
        <f>E42*F42</f>
        <v>204000</v>
      </c>
    </row>
    <row r="43" ht="20" customHeight="1" spans="1:7" x14ac:dyDescent="0.25">
      <c r="A43" s="14" t="s">
        <v>87</v>
      </c>
      <c r="B43" s="15" t="s">
        <v>88</v>
      </c>
      <c r="C43" s="16" t="s">
        <v>89</v>
      </c>
      <c r="D43" s="17" t="s">
        <v>70</v>
      </c>
      <c r="E43" s="18">
        <v>1</v>
      </c>
      <c r="F43" s="19">
        <v>122400</v>
      </c>
      <c r="G43" s="20">
        <f>E43*F43</f>
        <v>122400</v>
      </c>
    </row>
    <row r="44" ht="20" customHeight="1" spans="1:7" x14ac:dyDescent="0.25">
      <c r="A44" s="14" t="s">
        <v>90</v>
      </c>
      <c r="B44" s="15" t="s">
        <v>91</v>
      </c>
      <c r="C44" s="16" t="s">
        <v>92</v>
      </c>
      <c r="D44" s="17" t="s">
        <v>19</v>
      </c>
      <c r="E44" s="18">
        <v>1</v>
      </c>
      <c r="F44" s="19">
        <v>122400</v>
      </c>
      <c r="G44" s="20">
        <f>E44*F44</f>
        <v>122400</v>
      </c>
    </row>
    <row r="45" ht="20" customHeight="1" spans="1:7" x14ac:dyDescent="0.25">
      <c r="A45" s="14" t="s">
        <v>93</v>
      </c>
      <c r="B45" s="15" t="s">
        <v>94</v>
      </c>
      <c r="C45" s="16" t="s">
        <v>95</v>
      </c>
      <c r="D45" s="17" t="s">
        <v>19</v>
      </c>
      <c r="E45" s="18">
        <v>1</v>
      </c>
      <c r="F45" s="19">
        <v>108800</v>
      </c>
      <c r="G45" s="20">
        <f>E45*F45</f>
        <v>108800</v>
      </c>
    </row>
    <row r="46" ht="20" customHeight="1" spans="1:7" x14ac:dyDescent="0.25">
      <c r="A46" s="21" t="s">
        <v>96</v>
      </c>
      <c r="B46" s="21"/>
      <c r="C46" s="21"/>
      <c r="D46" s="21"/>
      <c r="E46" s="21"/>
      <c r="F46" s="21"/>
      <c r="G46" s="22">
        <f>SUM(G41:G45)</f>
      </c>
    </row>
    <row r="48" ht="22" customHeight="1" spans="1:7" x14ac:dyDescent="0.25">
      <c r="A48" s="13" t="s">
        <v>97</v>
      </c>
      <c r="B48" s="13"/>
      <c r="C48" s="13"/>
      <c r="D48" s="13"/>
      <c r="E48" s="13"/>
      <c r="F48" s="13"/>
      <c r="G48" s="13"/>
    </row>
    <row r="49" ht="20" customHeight="1" spans="1:7" x14ac:dyDescent="0.25">
      <c r="A49" s="14" t="s">
        <v>98</v>
      </c>
      <c r="B49" s="15" t="s">
        <v>99</v>
      </c>
      <c r="C49" s="16" t="s">
        <v>100</v>
      </c>
      <c r="D49" s="17" t="s">
        <v>19</v>
      </c>
      <c r="E49" s="18">
        <v>1</v>
      </c>
      <c r="F49" s="19">
        <v>108800</v>
      </c>
      <c r="G49" s="20">
        <f>E49*F49</f>
        <v>108800</v>
      </c>
    </row>
    <row r="50" ht="20" customHeight="1" spans="1:7" x14ac:dyDescent="0.25">
      <c r="A50" s="14" t="s">
        <v>101</v>
      </c>
      <c r="B50" s="15" t="s">
        <v>102</v>
      </c>
      <c r="C50" s="16" t="s">
        <v>103</v>
      </c>
      <c r="D50" s="17" t="s">
        <v>19</v>
      </c>
      <c r="E50" s="18">
        <v>1</v>
      </c>
      <c r="F50" s="19">
        <v>95200</v>
      </c>
      <c r="G50" s="20">
        <f>E50*F50</f>
        <v>95200</v>
      </c>
    </row>
    <row r="51" ht="20" customHeight="1" spans="1:7" x14ac:dyDescent="0.25">
      <c r="A51" s="14" t="s">
        <v>104</v>
      </c>
      <c r="B51" s="15" t="s">
        <v>50</v>
      </c>
      <c r="C51" s="16" t="s">
        <v>105</v>
      </c>
      <c r="D51" s="17" t="s">
        <v>19</v>
      </c>
      <c r="E51" s="18">
        <v>1</v>
      </c>
      <c r="F51" s="19">
        <v>149600</v>
      </c>
      <c r="G51" s="20">
        <f>E51*F51</f>
        <v>149600</v>
      </c>
    </row>
    <row r="52" ht="20" customHeight="1" spans="1:7" x14ac:dyDescent="0.25">
      <c r="A52" s="21" t="s">
        <v>106</v>
      </c>
      <c r="B52" s="21"/>
      <c r="C52" s="21"/>
      <c r="D52" s="21"/>
      <c r="E52" s="21"/>
      <c r="F52" s="21"/>
      <c r="G52" s="22">
        <f>SUM(G49:G51)</f>
      </c>
    </row>
    <row r="54" ht="22" customHeight="1" spans="1:7" x14ac:dyDescent="0.25">
      <c r="A54" s="13" t="s">
        <v>107</v>
      </c>
      <c r="B54" s="13"/>
      <c r="C54" s="13"/>
      <c r="D54" s="13"/>
      <c r="E54" s="13"/>
      <c r="F54" s="13"/>
      <c r="G54" s="13"/>
    </row>
    <row r="55" ht="20" customHeight="1" spans="1:7" x14ac:dyDescent="0.25">
      <c r="A55" s="14" t="s">
        <v>108</v>
      </c>
      <c r="B55" s="15" t="s">
        <v>50</v>
      </c>
      <c r="C55" s="16" t="s">
        <v>109</v>
      </c>
      <c r="D55" s="17" t="s">
        <v>19</v>
      </c>
      <c r="E55" s="18">
        <v>1</v>
      </c>
      <c r="F55" s="19">
        <v>227120</v>
      </c>
      <c r="G55" s="20">
        <f>E55*F55</f>
        <v>227120</v>
      </c>
    </row>
    <row r="56" ht="20" customHeight="1" spans="1:7" x14ac:dyDescent="0.25">
      <c r="A56" s="14" t="s">
        <v>110</v>
      </c>
      <c r="B56" s="15" t="s">
        <v>111</v>
      </c>
      <c r="C56" s="16" t="s">
        <v>112</v>
      </c>
      <c r="D56" s="17" t="s">
        <v>19</v>
      </c>
      <c r="E56" s="18">
        <v>1</v>
      </c>
      <c r="F56" s="19">
        <v>227120</v>
      </c>
      <c r="G56" s="20">
        <f>E56*F56</f>
        <v>227120</v>
      </c>
    </row>
    <row r="57" ht="20" customHeight="1" spans="1:7" x14ac:dyDescent="0.25">
      <c r="A57" s="14" t="s">
        <v>113</v>
      </c>
      <c r="B57" s="15" t="s">
        <v>114</v>
      </c>
      <c r="C57" s="16" t="s">
        <v>48</v>
      </c>
      <c r="D57" s="17" t="s">
        <v>19</v>
      </c>
      <c r="E57" s="18">
        <v>1</v>
      </c>
      <c r="F57" s="19">
        <v>272000</v>
      </c>
      <c r="G57" s="20">
        <f>E57*F57</f>
        <v>272000</v>
      </c>
    </row>
    <row r="58" ht="20" customHeight="1" spans="1:7" x14ac:dyDescent="0.25">
      <c r="A58" s="21" t="s">
        <v>115</v>
      </c>
      <c r="B58" s="21"/>
      <c r="C58" s="21"/>
      <c r="D58" s="21"/>
      <c r="E58" s="21"/>
      <c r="F58" s="21"/>
      <c r="G58" s="22">
        <f>SUM(G55:G57)</f>
      </c>
    </row>
    <row r="60" ht="22" customHeight="1" spans="1:7" x14ac:dyDescent="0.25">
      <c r="A60" s="13" t="s">
        <v>116</v>
      </c>
      <c r="B60" s="13"/>
      <c r="C60" s="13"/>
      <c r="D60" s="13"/>
      <c r="E60" s="13"/>
      <c r="F60" s="13"/>
      <c r="G60" s="13"/>
    </row>
    <row r="61" ht="20" customHeight="1" spans="1:7" x14ac:dyDescent="0.25">
      <c r="A61" s="14" t="s">
        <v>117</v>
      </c>
      <c r="B61" s="15" t="s">
        <v>50</v>
      </c>
      <c r="C61" s="16" t="s">
        <v>109</v>
      </c>
      <c r="D61" s="17" t="s">
        <v>19</v>
      </c>
      <c r="E61" s="18">
        <v>1</v>
      </c>
      <c r="F61" s="19">
        <v>227120</v>
      </c>
      <c r="G61" s="20">
        <f>E61*F61</f>
        <v>227120</v>
      </c>
    </row>
    <row r="62" ht="20" customHeight="1" spans="1:7" x14ac:dyDescent="0.25">
      <c r="A62" s="14" t="s">
        <v>118</v>
      </c>
      <c r="B62" s="15" t="s">
        <v>111</v>
      </c>
      <c r="C62" s="16" t="s">
        <v>112</v>
      </c>
      <c r="D62" s="17" t="s">
        <v>19</v>
      </c>
      <c r="E62" s="18">
        <v>1</v>
      </c>
      <c r="F62" s="19">
        <v>227120</v>
      </c>
      <c r="G62" s="20">
        <f>E62*F62</f>
        <v>227120</v>
      </c>
    </row>
    <row r="63" ht="20" customHeight="1" spans="1:7" x14ac:dyDescent="0.25">
      <c r="A63" s="14" t="s">
        <v>119</v>
      </c>
      <c r="B63" s="15" t="s">
        <v>114</v>
      </c>
      <c r="C63" s="16" t="s">
        <v>48</v>
      </c>
      <c r="D63" s="17" t="s">
        <v>19</v>
      </c>
      <c r="E63" s="18">
        <v>1</v>
      </c>
      <c r="F63" s="19">
        <v>272000</v>
      </c>
      <c r="G63" s="20">
        <f>E63*F63</f>
        <v>272000</v>
      </c>
    </row>
    <row r="64" ht="20" customHeight="1" spans="1:7" x14ac:dyDescent="0.25">
      <c r="A64" s="21" t="s">
        <v>120</v>
      </c>
      <c r="B64" s="21"/>
      <c r="C64" s="21"/>
      <c r="D64" s="21"/>
      <c r="E64" s="21"/>
      <c r="F64" s="21"/>
      <c r="G64" s="22">
        <f>SUM(G61:G63)</f>
      </c>
    </row>
    <row r="66" ht="22" customHeight="1" spans="1:7" x14ac:dyDescent="0.25">
      <c r="A66" s="13" t="s">
        <v>121</v>
      </c>
      <c r="B66" s="13"/>
      <c r="C66" s="13"/>
      <c r="D66" s="13"/>
      <c r="E66" s="13"/>
      <c r="F66" s="13"/>
      <c r="G66" s="13"/>
    </row>
    <row r="67" ht="20" customHeight="1" spans="1:7" x14ac:dyDescent="0.25">
      <c r="A67" s="14" t="s">
        <v>122</v>
      </c>
      <c r="B67" s="15" t="s">
        <v>50</v>
      </c>
      <c r="C67" s="16" t="s">
        <v>109</v>
      </c>
      <c r="D67" s="17" t="s">
        <v>19</v>
      </c>
      <c r="E67" s="18">
        <v>1</v>
      </c>
      <c r="F67" s="19">
        <v>225760</v>
      </c>
      <c r="G67" s="20">
        <f>E67*F67</f>
        <v>225760</v>
      </c>
    </row>
    <row r="68" ht="20" customHeight="1" spans="1:7" x14ac:dyDescent="0.25">
      <c r="A68" s="14" t="s">
        <v>123</v>
      </c>
      <c r="B68" s="15" t="s">
        <v>111</v>
      </c>
      <c r="C68" s="16" t="s">
        <v>112</v>
      </c>
      <c r="D68" s="17" t="s">
        <v>19</v>
      </c>
      <c r="E68" s="18">
        <v>1</v>
      </c>
      <c r="F68" s="19">
        <v>225760</v>
      </c>
      <c r="G68" s="20">
        <f>E68*F68</f>
        <v>225760</v>
      </c>
    </row>
    <row r="69" ht="20" customHeight="1" spans="1:7" x14ac:dyDescent="0.25">
      <c r="A69" s="14" t="s">
        <v>124</v>
      </c>
      <c r="B69" s="15" t="s">
        <v>114</v>
      </c>
      <c r="C69" s="16" t="s">
        <v>48</v>
      </c>
      <c r="D69" s="17" t="s">
        <v>19</v>
      </c>
      <c r="E69" s="18">
        <v>1</v>
      </c>
      <c r="F69" s="19">
        <v>272000</v>
      </c>
      <c r="G69" s="20">
        <f>E69*F69</f>
        <v>272000</v>
      </c>
    </row>
    <row r="70" ht="20" customHeight="1" spans="1:7" x14ac:dyDescent="0.25">
      <c r="A70" s="21" t="s">
        <v>125</v>
      </c>
      <c r="B70" s="21"/>
      <c r="C70" s="21"/>
      <c r="D70" s="21"/>
      <c r="E70" s="21"/>
      <c r="F70" s="21"/>
      <c r="G70" s="22">
        <f>SUM(G67:G69)</f>
      </c>
    </row>
    <row r="72" ht="22" customHeight="1" spans="1:7" x14ac:dyDescent="0.25">
      <c r="A72" s="13" t="s">
        <v>126</v>
      </c>
      <c r="B72" s="13"/>
      <c r="C72" s="13"/>
      <c r="D72" s="13"/>
      <c r="E72" s="13"/>
      <c r="F72" s="13"/>
      <c r="G72" s="13"/>
    </row>
    <row r="73" ht="20" customHeight="1" spans="1:7" x14ac:dyDescent="0.25">
      <c r="A73" s="14" t="s">
        <v>127</v>
      </c>
      <c r="B73" s="15" t="s">
        <v>128</v>
      </c>
      <c r="C73" s="16" t="s">
        <v>129</v>
      </c>
      <c r="D73" s="17" t="s">
        <v>19</v>
      </c>
      <c r="E73" s="18">
        <v>1</v>
      </c>
      <c r="F73" s="19">
        <v>244800</v>
      </c>
      <c r="G73" s="20">
        <f>E73*F73</f>
        <v>244800</v>
      </c>
    </row>
    <row r="74" ht="20" customHeight="1" spans="1:7" x14ac:dyDescent="0.25">
      <c r="A74" s="14" t="s">
        <v>130</v>
      </c>
      <c r="B74" s="15" t="s">
        <v>131</v>
      </c>
      <c r="C74" s="16" t="s">
        <v>132</v>
      </c>
      <c r="D74" s="17" t="s">
        <v>19</v>
      </c>
      <c r="E74" s="18">
        <v>1</v>
      </c>
      <c r="F74" s="19">
        <v>68000</v>
      </c>
      <c r="G74" s="20">
        <f>E74*F74</f>
        <v>68000</v>
      </c>
    </row>
    <row r="75" ht="20" customHeight="1" spans="1:7" x14ac:dyDescent="0.25">
      <c r="A75" s="14" t="s">
        <v>133</v>
      </c>
      <c r="B75" s="15" t="s">
        <v>85</v>
      </c>
      <c r="C75" s="16" t="s">
        <v>134</v>
      </c>
      <c r="D75" s="17" t="s">
        <v>19</v>
      </c>
      <c r="E75" s="18">
        <v>1</v>
      </c>
      <c r="F75" s="19">
        <v>176800</v>
      </c>
      <c r="G75" s="20">
        <f>E75*F75</f>
        <v>176800</v>
      </c>
    </row>
    <row r="76" ht="20" customHeight="1" spans="1:7" x14ac:dyDescent="0.25">
      <c r="A76" s="14" t="s">
        <v>135</v>
      </c>
      <c r="B76" s="15" t="s">
        <v>136</v>
      </c>
      <c r="C76" s="16" t="s">
        <v>137</v>
      </c>
      <c r="D76" s="17" t="s">
        <v>19</v>
      </c>
      <c r="E76" s="18">
        <v>1</v>
      </c>
      <c r="F76" s="19">
        <v>108800</v>
      </c>
      <c r="G76" s="20">
        <f>E76*F76</f>
        <v>108800</v>
      </c>
    </row>
    <row r="77" ht="20" customHeight="1" spans="1:7" x14ac:dyDescent="0.25">
      <c r="A77" s="14" t="s">
        <v>138</v>
      </c>
      <c r="B77" s="15" t="s">
        <v>139</v>
      </c>
      <c r="C77" s="16" t="s">
        <v>140</v>
      </c>
      <c r="D77" s="17" t="s">
        <v>19</v>
      </c>
      <c r="E77" s="18">
        <v>1</v>
      </c>
      <c r="F77" s="19">
        <v>81600</v>
      </c>
      <c r="G77" s="20">
        <f>E77*F77</f>
        <v>81600</v>
      </c>
    </row>
    <row r="78" ht="20" customHeight="1" spans="1:7" x14ac:dyDescent="0.25">
      <c r="A78" s="21" t="s">
        <v>141</v>
      </c>
      <c r="B78" s="21"/>
      <c r="C78" s="21"/>
      <c r="D78" s="21"/>
      <c r="E78" s="21"/>
      <c r="F78" s="21"/>
      <c r="G78" s="22">
        <f>SUM(G73:G77)</f>
      </c>
    </row>
    <row r="80" ht="22" customHeight="1" spans="1:7" x14ac:dyDescent="0.25">
      <c r="A80" s="13" t="s">
        <v>142</v>
      </c>
      <c r="B80" s="13"/>
      <c r="C80" s="13"/>
      <c r="D80" s="13"/>
      <c r="E80" s="13"/>
      <c r="F80" s="13"/>
      <c r="G80" s="13"/>
    </row>
    <row r="81" ht="20" customHeight="1" spans="1:7" x14ac:dyDescent="0.25">
      <c r="A81" s="14" t="s">
        <v>143</v>
      </c>
      <c r="B81" s="15" t="s">
        <v>144</v>
      </c>
      <c r="C81" s="16" t="s">
        <v>145</v>
      </c>
      <c r="D81" s="17" t="s">
        <v>19</v>
      </c>
      <c r="E81" s="18">
        <v>1</v>
      </c>
      <c r="F81" s="19">
        <v>176800</v>
      </c>
      <c r="G81" s="20">
        <f>E81*F81</f>
        <v>176800</v>
      </c>
    </row>
    <row r="82" ht="20" customHeight="1" spans="1:7" x14ac:dyDescent="0.25">
      <c r="A82" s="14" t="s">
        <v>146</v>
      </c>
      <c r="B82" s="15" t="s">
        <v>147</v>
      </c>
      <c r="C82" s="16" t="s">
        <v>148</v>
      </c>
      <c r="D82" s="17" t="s">
        <v>19</v>
      </c>
      <c r="E82" s="18">
        <v>1</v>
      </c>
      <c r="F82" s="19">
        <v>149600</v>
      </c>
      <c r="G82" s="20">
        <f>E82*F82</f>
        <v>149600</v>
      </c>
    </row>
    <row r="83" ht="20" customHeight="1" spans="1:7" x14ac:dyDescent="0.25">
      <c r="A83" s="14" t="s">
        <v>149</v>
      </c>
      <c r="B83" s="15" t="s">
        <v>150</v>
      </c>
      <c r="C83" s="16" t="s">
        <v>151</v>
      </c>
      <c r="D83" s="17" t="s">
        <v>19</v>
      </c>
      <c r="E83" s="18">
        <v>1</v>
      </c>
      <c r="F83" s="19">
        <v>136000</v>
      </c>
      <c r="G83" s="20">
        <f>E83*F83</f>
        <v>136000</v>
      </c>
    </row>
    <row r="84" ht="20" customHeight="1" spans="1:7" x14ac:dyDescent="0.25">
      <c r="A84" s="14" t="s">
        <v>152</v>
      </c>
      <c r="B84" s="15" t="s">
        <v>153</v>
      </c>
      <c r="C84" s="16" t="s">
        <v>154</v>
      </c>
      <c r="D84" s="17" t="s">
        <v>19</v>
      </c>
      <c r="E84" s="18">
        <v>1</v>
      </c>
      <c r="F84" s="19">
        <v>81600</v>
      </c>
      <c r="G84" s="20">
        <f>E84*F84</f>
        <v>81600</v>
      </c>
    </row>
    <row r="85" ht="20" customHeight="1" spans="1:7" x14ac:dyDescent="0.25">
      <c r="A85" s="21" t="s">
        <v>155</v>
      </c>
      <c r="B85" s="21"/>
      <c r="C85" s="21"/>
      <c r="D85" s="21"/>
      <c r="E85" s="21"/>
      <c r="F85" s="21"/>
      <c r="G85" s="22">
        <f>SUM(G81:G84)</f>
      </c>
    </row>
    <row r="87" ht="28" customHeight="1" spans="1:7" x14ac:dyDescent="0.25">
      <c r="A87" s="23" t="s">
        <v>156</v>
      </c>
      <c r="B87" s="23"/>
      <c r="C87" s="23"/>
      <c r="D87" s="23"/>
      <c r="E87" s="23"/>
      <c r="F87" s="23"/>
      <c r="G87" s="24">
        <f>G15+G24+G31+G38+G46+G52+G58+G64+G70+G78+G85</f>
        <v>9180000</v>
      </c>
    </row>
  </sheetData>
  <mergeCells count="32">
    <mergeCell ref="A1:G1"/>
    <mergeCell ref="A2:D2"/>
    <mergeCell ref="F2:G2"/>
    <mergeCell ref="A3:D3"/>
    <mergeCell ref="F3:G3"/>
    <mergeCell ref="A4:D4"/>
    <mergeCell ref="F4:G4"/>
    <mergeCell ref="E5:G5"/>
    <mergeCell ref="A6:G6"/>
    <mergeCell ref="A9:G9"/>
    <mergeCell ref="A15:F15"/>
    <mergeCell ref="A17:G17"/>
    <mergeCell ref="A24:F24"/>
    <mergeCell ref="A26:G26"/>
    <mergeCell ref="A31:F31"/>
    <mergeCell ref="A33:G33"/>
    <mergeCell ref="A38:F38"/>
    <mergeCell ref="A40:G40"/>
    <mergeCell ref="A46:F46"/>
    <mergeCell ref="A48:G48"/>
    <mergeCell ref="A52:F52"/>
    <mergeCell ref="A54:G54"/>
    <mergeCell ref="A58:F58"/>
    <mergeCell ref="A60:G60"/>
    <mergeCell ref="A64:F64"/>
    <mergeCell ref="A66:G66"/>
    <mergeCell ref="A70:F70"/>
    <mergeCell ref="A72:G72"/>
    <mergeCell ref="A78:F78"/>
    <mergeCell ref="A80:G80"/>
    <mergeCell ref="A85:F85"/>
    <mergeCell ref="A87:F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outlineLevelRow="0" outlineLevelCol="0" x14ac:dyDescent="55"/>
  <cols>
    <col min="1" max="1" width="8" customWidth="1"/>
    <col min="2" max="2" width="32" customWidth="1"/>
    <col min="3" max="3" width="22" customWidth="1"/>
    <col min="4" max="4" width="16" customWidth="1"/>
    <col min="5" max="5" width="40" customWidth="1"/>
  </cols>
  <sheetData>
    <row r="1" ht="26" customHeight="1" spans="1:5" x14ac:dyDescent="0.25">
      <c r="A1" s="25" t="s">
        <v>157</v>
      </c>
      <c r="B1" s="25"/>
      <c r="C1" s="25"/>
      <c r="D1" s="25"/>
      <c r="E1" s="25"/>
    </row>
    <row r="3" ht="22" customHeight="1" spans="1:5" x14ac:dyDescent="0.25">
      <c r="A3" s="26" t="s">
        <v>8</v>
      </c>
      <c r="B3" s="27" t="s">
        <v>158</v>
      </c>
      <c r="C3" s="28" t="s">
        <v>159</v>
      </c>
      <c r="D3" s="28" t="s">
        <v>160</v>
      </c>
      <c r="E3" s="27" t="s">
        <v>161</v>
      </c>
    </row>
    <row r="4" ht="20" customHeight="1" spans="1:5" x14ac:dyDescent="0.25">
      <c r="A4" s="29">
        <v>1</v>
      </c>
      <c r="B4" s="30" t="s">
        <v>162</v>
      </c>
      <c r="C4" s="31">
        <f>'Presupuesto de Obras'!G15</f>
      </c>
      <c r="D4" s="32">
        <f>C4/'Presupuesto de Obras'!G87</f>
      </c>
      <c r="E4" s="33" t="s">
        <v>163</v>
      </c>
    </row>
    <row r="5" ht="20" customHeight="1" spans="1:5" x14ac:dyDescent="0.25">
      <c r="A5" s="29">
        <v>2</v>
      </c>
      <c r="B5" s="30" t="s">
        <v>164</v>
      </c>
      <c r="C5" s="31">
        <f>'Presupuesto de Obras'!G24</f>
      </c>
      <c r="D5" s="32">
        <f>C5/'Presupuesto de Obras'!G87</f>
      </c>
      <c r="E5" s="33" t="s">
        <v>165</v>
      </c>
    </row>
    <row r="6" ht="20" customHeight="1" spans="1:5" x14ac:dyDescent="0.25">
      <c r="A6" s="29">
        <v>3</v>
      </c>
      <c r="B6" s="30" t="s">
        <v>166</v>
      </c>
      <c r="C6" s="31">
        <f>'Presupuesto de Obras'!G31</f>
      </c>
      <c r="D6" s="32">
        <f>C6/'Presupuesto de Obras'!G87</f>
      </c>
      <c r="E6" s="33" t="s">
        <v>167</v>
      </c>
    </row>
    <row r="7" ht="20" customHeight="1" spans="1:5" x14ac:dyDescent="0.25">
      <c r="A7" s="29">
        <v>4</v>
      </c>
      <c r="B7" s="30" t="s">
        <v>168</v>
      </c>
      <c r="C7" s="31">
        <f>'Presupuesto de Obras'!G38</f>
      </c>
      <c r="D7" s="32">
        <f>C7/'Presupuesto de Obras'!G87</f>
      </c>
      <c r="E7" s="33" t="s">
        <v>169</v>
      </c>
    </row>
    <row r="8" ht="20" customHeight="1" spans="1:5" x14ac:dyDescent="0.25">
      <c r="A8" s="29">
        <v>5</v>
      </c>
      <c r="B8" s="30" t="s">
        <v>170</v>
      </c>
      <c r="C8" s="31">
        <f>'Presupuesto de Obras'!G46</f>
      </c>
      <c r="D8" s="32">
        <f>C8/'Presupuesto de Obras'!G87</f>
      </c>
      <c r="E8" s="33" t="s">
        <v>171</v>
      </c>
    </row>
    <row r="9" ht="20" customHeight="1" spans="1:5" x14ac:dyDescent="0.25">
      <c r="A9" s="29">
        <v>6</v>
      </c>
      <c r="B9" s="30" t="s">
        <v>172</v>
      </c>
      <c r="C9" s="31">
        <f>'Presupuesto de Obras'!G52</f>
      </c>
      <c r="D9" s="32">
        <f>C9/'Presupuesto de Obras'!G87</f>
      </c>
      <c r="E9" s="33" t="s">
        <v>173</v>
      </c>
    </row>
    <row r="10" ht="20" customHeight="1" spans="1:5" x14ac:dyDescent="0.25">
      <c r="A10" s="29">
        <v>7</v>
      </c>
      <c r="B10" s="30" t="s">
        <v>174</v>
      </c>
      <c r="C10" s="31">
        <f>'Presupuesto de Obras'!G58</f>
      </c>
      <c r="D10" s="32">
        <f>C10/'Presupuesto de Obras'!G87</f>
      </c>
      <c r="E10" s="33" t="s">
        <v>175</v>
      </c>
    </row>
    <row r="11" ht="20" customHeight="1" spans="1:5" x14ac:dyDescent="0.25">
      <c r="A11" s="29">
        <v>8</v>
      </c>
      <c r="B11" s="30" t="s">
        <v>176</v>
      </c>
      <c r="C11" s="31">
        <f>'Presupuesto de Obras'!G64</f>
      </c>
      <c r="D11" s="32">
        <f>C11/'Presupuesto de Obras'!G87</f>
      </c>
      <c r="E11" s="33" t="s">
        <v>175</v>
      </c>
    </row>
    <row r="12" ht="20" customHeight="1" spans="1:5" x14ac:dyDescent="0.25">
      <c r="A12" s="29">
        <v>9</v>
      </c>
      <c r="B12" s="30" t="s">
        <v>177</v>
      </c>
      <c r="C12" s="31">
        <f>'Presupuesto de Obras'!G70</f>
      </c>
      <c r="D12" s="32">
        <f>C12/'Presupuesto de Obras'!G87</f>
      </c>
      <c r="E12" s="33" t="s">
        <v>175</v>
      </c>
    </row>
    <row r="13" ht="20" customHeight="1" spans="1:5" x14ac:dyDescent="0.25">
      <c r="A13" s="29">
        <v>10</v>
      </c>
      <c r="B13" s="30" t="s">
        <v>178</v>
      </c>
      <c r="C13" s="31">
        <f>'Presupuesto de Obras'!G78</f>
      </c>
      <c r="D13" s="32">
        <f>C13/'Presupuesto de Obras'!G87</f>
      </c>
      <c r="E13" s="33" t="s">
        <v>179</v>
      </c>
    </row>
    <row r="14" ht="20" customHeight="1" spans="1:5" x14ac:dyDescent="0.25">
      <c r="A14" s="29">
        <v>11</v>
      </c>
      <c r="B14" s="30" t="s">
        <v>180</v>
      </c>
      <c r="C14" s="31">
        <f>'Presupuesto de Obras'!G85</f>
      </c>
      <c r="D14" s="32">
        <f>C14/'Presupuesto de Obras'!G87</f>
      </c>
      <c r="E14" s="33" t="s">
        <v>181</v>
      </c>
    </row>
    <row r="15" ht="24" customHeight="1" spans="2:4" x14ac:dyDescent="0.25">
      <c r="B15" s="34" t="s">
        <v>182</v>
      </c>
      <c r="C15" s="35">
        <f>SUM(C4:C14)</f>
      </c>
      <c r="D15" s="36">
        <f>SUM(D4:D14)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 de Obras</vt:lpstr>
      <vt:lpstr>Resumen Ejecutivo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Presupuestos Obras Menores</dc:creator>
  <dc:title/>
  <dc:subject/>
  <dc:description/>
  <cp:keywords/>
  <cp:category/>
  <cp:lastModifiedBy>Constructor / Maestro</cp:lastModifiedBy>
  <dcterms:created xsi:type="dcterms:W3CDTF">2026-09-30T01:36:10Z</dcterms:created>
  <dcterms:modified xsi:type="dcterms:W3CDTF">2026-09-30T01:36:10Z</dcterms:modified>
</cp:coreProperties>
</file>